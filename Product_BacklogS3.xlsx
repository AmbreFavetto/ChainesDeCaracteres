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drawings/drawing3.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drawings/drawing4.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drawings/drawing5.xml" ContentType="application/vnd.openxmlformats-officedocument.drawing+xml"/>
  <Override PartName="/xl/tables/table4.xml" ContentType="application/vnd.openxmlformats-officedocument.spreadsheetml.table+xml"/>
  <Override PartName="/xl/charts/chart5.xml" ContentType="application/vnd.openxmlformats-officedocument.drawingml.chart+xml"/>
  <Override PartName="/xl/drawings/drawing6.xml" ContentType="application/vnd.openxmlformats-officedocument.drawing+xml"/>
  <Override PartName="/xl/tables/table5.xml" ContentType="application/vnd.openxmlformats-officedocument.spreadsheetml.table+xml"/>
  <Override PartName="/xl/charts/chart6.xml" ContentType="application/vnd.openxmlformats-officedocument.drawingml.chart+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C:\Users\Dorian\Desktop\ProjetChaine\"/>
    </mc:Choice>
  </mc:AlternateContent>
  <xr:revisionPtr revIDLastSave="0" documentId="13_ncr:1_{68B3DE66-CE96-4091-80BE-11CD3D99A97A}" xr6:coauthVersionLast="41" xr6:coauthVersionMax="41" xr10:uidLastSave="{00000000-0000-0000-0000-000000000000}"/>
  <bookViews>
    <workbookView xWindow="-120" yWindow="-120" windowWidth="20730" windowHeight="11160" xr2:uid="{00000000-000D-0000-FFFF-FFFF00000000}"/>
  </bookViews>
  <sheets>
    <sheet name="ProductBacklog" sheetId="1" r:id="rId1"/>
    <sheet name="Estimation tâche" sheetId="2" r:id="rId2"/>
    <sheet name="Sprint_1810" sheetId="3" r:id="rId3"/>
    <sheet name="Sprint_2410" sheetId="4" r:id="rId4"/>
    <sheet name="Sprint_0611" sheetId="5" r:id="rId5"/>
    <sheet name="Sprint_1511" sheetId="6" r:id="rId6"/>
    <sheet name="Sprint_21_11" sheetId="7" r:id="rId7"/>
    <sheet name="Sprint_0512" sheetId="8" r:id="rId8"/>
    <sheet name="Sprint_21_11 (2)" sheetId="9" r:id="rId9"/>
  </sheets>
  <definedNames>
    <definedName name="_xlnm.Print_Area" localSheetId="0">ProductBacklog!$A$1:$E$28</definedName>
    <definedName name="_xlnm.Print_Area" localSheetId="2">Table_3[#All]</definedName>
    <definedName name="_xlnm.Print_Area" localSheetId="6">Table_7[#All]</definedName>
    <definedName name="_xlnm.Print_Area" localSheetId="8">Table_72[#All]</definedName>
    <definedName name="_xlnm.Print_Area" localSheetId="3">Table_4[#All]</definedName>
  </definedNames>
  <calcPr calcId="191029"/>
  <extLst>
    <ext xmlns:xcalcf="http://schemas.microsoft.com/office/spreadsheetml/2018/calcfeatures" uri="{B58B0392-4F1F-4190-BB64-5DF3571DCE5F}">
      <xcalcf:calcFeatures>
        <xcalcf:feature name="microsoft.com:RD"/>
        <xcalcf:feature name="microsoft.com:FV"/>
      </xcalcf:calcFeatures>
    </ext>
    <ext uri="GoogleSheetsCustomDataVersion1">
      <go:sheetsCustomData xmlns:go="http://customooxmlschemas.google.com/" r:id="rId12" roundtripDataSignature="AMtx7mgmwH4FOhERgZGEkCUcz2HowH0JHA=="/>
    </ext>
  </extLst>
</workbook>
</file>

<file path=xl/calcChain.xml><?xml version="1.0" encoding="utf-8"?>
<calcChain xmlns="http://schemas.openxmlformats.org/spreadsheetml/2006/main">
  <c r="L2" i="9" l="1"/>
  <c r="D6" i="8"/>
  <c r="E6" i="8" s="1"/>
  <c r="F6" i="8" s="1"/>
  <c r="G6" i="8" s="1"/>
  <c r="H6" i="8" s="1"/>
  <c r="I6" i="8" s="1"/>
  <c r="J6" i="8" s="1"/>
  <c r="K6" i="8" s="1"/>
  <c r="D10" i="7"/>
  <c r="F2" i="2" l="1"/>
  <c r="F3" i="2" s="1"/>
  <c r="F4" i="2" s="1"/>
  <c r="F5" i="2" s="1"/>
  <c r="F6" i="2" s="1"/>
  <c r="F7" i="2" s="1"/>
  <c r="F8" i="2" s="1"/>
  <c r="F9" i="2" s="1"/>
  <c r="F10" i="2" s="1"/>
  <c r="F11" i="2" s="1"/>
  <c r="F12" i="2" s="1"/>
  <c r="F13" i="2" s="1"/>
  <c r="F14" i="2" s="1"/>
  <c r="F15" i="2" s="1"/>
  <c r="F16" i="2" s="1"/>
  <c r="F17" i="2" s="1"/>
  <c r="F18" i="2" s="1"/>
  <c r="F19" i="2" s="1"/>
  <c r="F20" i="2" s="1"/>
  <c r="F21" i="2" s="1"/>
  <c r="F22" i="2" s="1"/>
  <c r="F23" i="2" s="1"/>
  <c r="F24" i="2" s="1"/>
  <c r="F25" i="2" s="1"/>
  <c r="D6" i="9" l="1"/>
  <c r="D7" i="9" s="1"/>
  <c r="G2" i="2"/>
  <c r="G3" i="2" s="1"/>
  <c r="G4" i="2" s="1"/>
  <c r="G5" i="2" s="1"/>
  <c r="G6" i="2" s="1"/>
  <c r="G7" i="2" s="1"/>
  <c r="G8" i="2" s="1"/>
  <c r="G9" i="2" s="1"/>
  <c r="G10" i="2" s="1"/>
  <c r="G11" i="2" s="1"/>
  <c r="G12" i="2" s="1"/>
  <c r="G13" i="2" s="1"/>
  <c r="G14" i="2" s="1"/>
  <c r="G15" i="2" s="1"/>
  <c r="G16" i="2" s="1"/>
  <c r="G17" i="2" s="1"/>
  <c r="G18" i="2" s="1"/>
  <c r="G19" i="2" s="1"/>
  <c r="G20" i="2" s="1"/>
  <c r="G21" i="2" s="1"/>
  <c r="G22" i="2" s="1"/>
  <c r="G23" i="2" s="1"/>
  <c r="G24" i="2" s="1"/>
  <c r="G25" i="2" s="1"/>
  <c r="L2" i="8"/>
  <c r="D11" i="7"/>
  <c r="E11" i="7" s="1"/>
  <c r="F11" i="7" s="1"/>
  <c r="G11" i="7" s="1"/>
  <c r="H11" i="7" s="1"/>
  <c r="I11" i="7" s="1"/>
  <c r="J11" i="7" s="1"/>
  <c r="K11" i="7" s="1"/>
  <c r="L8" i="7"/>
  <c r="L7" i="7"/>
  <c r="L6" i="7"/>
  <c r="L5" i="7"/>
  <c r="L4" i="7"/>
  <c r="L3" i="7"/>
  <c r="A3" i="7"/>
  <c r="A4" i="7" s="1"/>
  <c r="A5" i="7" s="1"/>
  <c r="A6" i="7" s="1"/>
  <c r="A7" i="7" s="1"/>
  <c r="A8" i="7" s="1"/>
  <c r="L2" i="7"/>
  <c r="E11" i="6"/>
  <c r="F11" i="6" s="1"/>
  <c r="G11" i="6" s="1"/>
  <c r="H11" i="6" s="1"/>
  <c r="I11" i="6" s="1"/>
  <c r="J11" i="6" s="1"/>
  <c r="K11" i="6" s="1"/>
  <c r="D11" i="6"/>
  <c r="D12" i="6" s="1"/>
  <c r="E12" i="6" s="1"/>
  <c r="F12" i="6" s="1"/>
  <c r="G12" i="6" s="1"/>
  <c r="H12" i="6" s="1"/>
  <c r="I12" i="6" s="1"/>
  <c r="J12" i="6" s="1"/>
  <c r="K12" i="6" s="1"/>
  <c r="L9" i="6"/>
  <c r="L8" i="6"/>
  <c r="L7" i="6"/>
  <c r="L6" i="6"/>
  <c r="L5" i="6"/>
  <c r="L4" i="6"/>
  <c r="L3" i="6"/>
  <c r="D11" i="5"/>
  <c r="D12" i="5" s="1"/>
  <c r="E12" i="5" s="1"/>
  <c r="F12" i="5" s="1"/>
  <c r="G12" i="5" s="1"/>
  <c r="H12" i="5" s="1"/>
  <c r="I12" i="5" s="1"/>
  <c r="J12" i="5" s="1"/>
  <c r="K12" i="5" s="1"/>
  <c r="L9" i="5"/>
  <c r="L8" i="5"/>
  <c r="L7" i="5"/>
  <c r="L5" i="5"/>
  <c r="L4" i="5"/>
  <c r="L3" i="5"/>
  <c r="D7" i="4"/>
  <c r="E7" i="4" s="1"/>
  <c r="F7" i="4" s="1"/>
  <c r="G7" i="4" s="1"/>
  <c r="H7" i="4" s="1"/>
  <c r="I7" i="4" s="1"/>
  <c r="J7" i="4" s="1"/>
  <c r="K7" i="4" s="1"/>
  <c r="D6" i="4"/>
  <c r="E6" i="4" s="1"/>
  <c r="F6" i="4" s="1"/>
  <c r="G6" i="4" s="1"/>
  <c r="H6" i="4" s="1"/>
  <c r="I6" i="4" s="1"/>
  <c r="J6" i="4" s="1"/>
  <c r="K6" i="4" s="1"/>
  <c r="L4" i="4"/>
  <c r="L3" i="4"/>
  <c r="L2" i="4"/>
  <c r="F7" i="3"/>
  <c r="G7" i="3" s="1"/>
  <c r="H7" i="3" s="1"/>
  <c r="I7" i="3" s="1"/>
  <c r="J7" i="3" s="1"/>
  <c r="K7" i="3" s="1"/>
  <c r="L7" i="3" s="1"/>
  <c r="E6" i="3"/>
  <c r="F6" i="3" s="1"/>
  <c r="G6" i="3" s="1"/>
  <c r="H6" i="3" s="1"/>
  <c r="I6" i="3" s="1"/>
  <c r="J6" i="3" s="1"/>
  <c r="K6" i="3" s="1"/>
  <c r="L6" i="3" s="1"/>
  <c r="M4" i="3"/>
  <c r="A4" i="3"/>
  <c r="M3" i="3"/>
  <c r="A3" i="3"/>
  <c r="M2" i="3"/>
  <c r="A26" i="2"/>
  <c r="A27" i="2" s="1"/>
  <c r="A28" i="2" s="1"/>
  <c r="A29" i="2" s="1"/>
  <c r="A30" i="2" s="1"/>
  <c r="A31" i="2" s="1"/>
  <c r="A32" i="2" s="1"/>
  <c r="A33" i="2" s="1"/>
  <c r="A34" i="2" s="1"/>
  <c r="A4" i="2"/>
  <c r="A5" i="2" s="1"/>
  <c r="A6" i="2" s="1"/>
  <c r="A7" i="2" s="1"/>
  <c r="A8" i="2" s="1"/>
  <c r="A9" i="2" s="1"/>
  <c r="A10" i="2" s="1"/>
  <c r="A11" i="2" s="1"/>
  <c r="A12" i="2" s="1"/>
  <c r="A13" i="2" s="1"/>
  <c r="A14" i="2" s="1"/>
  <c r="A15" i="2" s="1"/>
  <c r="A16" i="2" s="1"/>
  <c r="A17" i="2" s="1"/>
  <c r="A18" i="2" s="1"/>
  <c r="A19" i="2" s="1"/>
  <c r="A20" i="2" s="1"/>
  <c r="A21" i="2" s="1"/>
  <c r="A22" i="2" s="1"/>
  <c r="A29" i="1"/>
  <c r="A30" i="1" s="1"/>
  <c r="A31" i="1" s="1"/>
  <c r="A32" i="1" s="1"/>
  <c r="A33" i="1" s="1"/>
  <c r="A34" i="1" s="1"/>
  <c r="A35" i="1" s="1"/>
  <c r="A36" i="1" s="1"/>
  <c r="A37" i="1" s="1"/>
  <c r="A4" i="1"/>
  <c r="A5" i="1" s="1"/>
  <c r="A7" i="1" s="1"/>
  <c r="A8" i="1" s="1"/>
  <c r="A9" i="1" s="1"/>
  <c r="A11" i="1" s="1"/>
  <c r="A12" i="1" s="1"/>
  <c r="A13" i="1" s="1"/>
  <c r="A14" i="1" s="1"/>
  <c r="A16" i="1" s="1"/>
  <c r="A17" i="1" s="1"/>
  <c r="A18" i="1" s="1"/>
  <c r="A19" i="1" s="1"/>
  <c r="A20" i="1" s="1"/>
  <c r="A21" i="1" s="1"/>
  <c r="A22" i="1" s="1"/>
  <c r="A23" i="1" s="1"/>
  <c r="A24" i="1" s="1"/>
  <c r="A25" i="1" s="1"/>
  <c r="E6" i="9" l="1"/>
  <c r="F6" i="9" s="1"/>
  <c r="G6" i="9" s="1"/>
  <c r="H6" i="9" s="1"/>
  <c r="I6" i="9" s="1"/>
  <c r="J6" i="9" s="1"/>
  <c r="K6" i="9" s="1"/>
  <c r="E7" i="9"/>
  <c r="F7" i="9" s="1"/>
  <c r="G7" i="9" s="1"/>
  <c r="H7" i="9" s="1"/>
  <c r="I7" i="9" s="1"/>
  <c r="J7" i="9" s="1"/>
  <c r="K7" i="9" s="1"/>
  <c r="E11" i="5"/>
  <c r="F11" i="5" s="1"/>
  <c r="G11" i="5" s="1"/>
  <c r="H11" i="5" s="1"/>
  <c r="I11" i="5" s="1"/>
  <c r="J11" i="5" s="1"/>
  <c r="K11" i="5" s="1"/>
  <c r="E10" i="7"/>
  <c r="F10" i="7" s="1"/>
  <c r="G10" i="7" s="1"/>
  <c r="H10" i="7" s="1"/>
  <c r="I10" i="7" s="1"/>
  <c r="J10" i="7" s="1"/>
  <c r="K10" i="7" s="1"/>
  <c r="D7" i="8"/>
  <c r="E7" i="8" s="1"/>
  <c r="F7" i="8" s="1"/>
  <c r="G7" i="8" s="1"/>
  <c r="H7" i="8" s="1"/>
  <c r="I7" i="8" s="1"/>
  <c r="J7" i="8" s="1"/>
  <c r="K7" i="8" s="1"/>
</calcChain>
</file>

<file path=xl/sharedStrings.xml><?xml version="1.0" encoding="utf-8"?>
<sst xmlns="http://schemas.openxmlformats.org/spreadsheetml/2006/main" count="311" uniqueCount="83">
  <si>
    <t>ID</t>
  </si>
  <si>
    <t xml:space="preserve">Fonctionnalitée </t>
  </si>
  <si>
    <t>Estimation</t>
  </si>
  <si>
    <t>heures Reelle</t>
  </si>
  <si>
    <t>Prioritée</t>
  </si>
  <si>
    <t>Sprint</t>
  </si>
  <si>
    <t>Status</t>
  </si>
  <si>
    <t>VULNERABILITE MEMCCPY</t>
  </si>
  <si>
    <t>Lire documents sur memccpy</t>
  </si>
  <si>
    <t xml:space="preserve">Analyse de la fonction memccpy </t>
  </si>
  <si>
    <t>Etude des différents cas de bugs possibles</t>
  </si>
  <si>
    <t>Tests cas dépassement tampon memccpy</t>
  </si>
  <si>
    <t>moyen</t>
  </si>
  <si>
    <t>FAIT</t>
  </si>
  <si>
    <t>Test sur memccpy de base dans le cas d’un
 dépassement de tampon</t>
  </si>
  <si>
    <t>Important</t>
  </si>
  <si>
    <t>important</t>
  </si>
  <si>
    <t xml:space="preserve">Test implémentation de référence triviale de la fonction memccpy 
dans le cas d’un dépassement de tampon </t>
  </si>
  <si>
    <t>Utilisation d’une implémentation dites plus optimale de la fonction memccpy dans le cas d’un dépassement de tampon</t>
  </si>
  <si>
    <t>Tests cas de chaîne mal formée (sans ‘\0’ à la fin)</t>
  </si>
  <si>
    <t>Test sur memccpy de base dans le cas d’un dépassement de tampon</t>
  </si>
  <si>
    <t xml:space="preserve">Utilisation de la fonction memccpy de base dans le cas d’une chaîne mal formée </t>
  </si>
  <si>
    <t xml:space="preserve">Utilisation d’une implémentation de référence triviale de la fonction
memccpy dans le cas d’une chaîne mal formée </t>
  </si>
  <si>
    <t xml:space="preserve">Utilisation d’une implémentation dites plus optimal de la fonction memccpy dans le cas d’une chaîne mal formée </t>
  </si>
  <si>
    <t>Compte rendu des tests effectué</t>
  </si>
  <si>
    <t xml:space="preserve">PERFORMANCE </t>
  </si>
  <si>
    <t xml:space="preserve">Comparer temps d'éxécution pour la copie d'une chaine avec memccpy/strlcpy/strntcpy (programme significatif)
 </t>
  </si>
  <si>
    <t>Comparer les temps d'exécution pour la 
concaténation avec memccpy/strlcat/strntcat (Programme significatif)</t>
  </si>
  <si>
    <t>3, 4</t>
  </si>
  <si>
    <t>Compte rendu des programme de tests pour temps d'execution</t>
  </si>
  <si>
    <t>Priorité</t>
  </si>
  <si>
    <t>Lire manuel de la fonction strncat/strntcpy</t>
  </si>
  <si>
    <t>Expliquer si le manuel est compréhensible</t>
  </si>
  <si>
    <t xml:space="preserve">Rédiger manuel strstcat </t>
  </si>
  <si>
    <t>priorité</t>
  </si>
  <si>
    <t>Lire manuel de la fonction strntcat/strntcpy</t>
  </si>
  <si>
    <t>bas</t>
  </si>
  <si>
    <t xml:space="preserve">Rédiger manuel strsntcat </t>
  </si>
  <si>
    <t>Rédiger manuel strsntcpy</t>
  </si>
  <si>
    <t>Rédiger manuel strstcpy</t>
  </si>
  <si>
    <t>Compte rendu explicatif de la méthode de tests</t>
  </si>
  <si>
    <t xml:space="preserve">Refaire les tests de memccpy avec la méthode de test "Delahaye" </t>
  </si>
  <si>
    <t>Test de la fonction strntcat avec différentes forme d'intialisation pour chaine destination</t>
  </si>
  <si>
    <t xml:space="preserve">Explication de la méthode de test TDD </t>
  </si>
  <si>
    <t>EN COURS</t>
  </si>
  <si>
    <t>Analyser le nombre de fois où strncpy est utilisé 
dans le paquetage coreutils</t>
  </si>
  <si>
    <t>faible</t>
  </si>
  <si>
    <t>Analyser le nombre de fois où strncat est utilisé 
dans le paquetage coreutils</t>
  </si>
  <si>
    <t>Faire des statistiques sur l'utilisation strncpy et 
strncat dans le paquetage coreutils</t>
  </si>
  <si>
    <t>Compte rendu sur l'analyse statistique</t>
  </si>
  <si>
    <t xml:space="preserve">faible </t>
  </si>
  <si>
    <t>Choisir les commandes linux dont les occurrences seront remplacées</t>
  </si>
  <si>
    <t>Remplacer les occurrences de strncpy/strncat par
memccpy</t>
  </si>
  <si>
    <t>Remplacer les occurrences de strncpy/strncat par
strntcpy/strntcat</t>
  </si>
  <si>
    <t>Comparer les temps d'exécutions des trois 
versions de chaque commandes linux choisies</t>
  </si>
  <si>
    <t>PAS FAIT</t>
  </si>
  <si>
    <t>Créer un paquetage pour l'installation 
automatique des fonctions strntcpy/strntcat</t>
  </si>
  <si>
    <t>Heures de départ</t>
  </si>
  <si>
    <t>Jour 1</t>
  </si>
  <si>
    <t>Jour 2</t>
  </si>
  <si>
    <t>Jour 3</t>
  </si>
  <si>
    <t>Jour 4</t>
  </si>
  <si>
    <t>Jour 5</t>
  </si>
  <si>
    <t>Jour 6</t>
  </si>
  <si>
    <t>Jour 7</t>
  </si>
  <si>
    <t>Total</t>
  </si>
  <si>
    <t>Durée d'un sprint 1 semaine</t>
  </si>
  <si>
    <t>Heures restantes réelle</t>
  </si>
  <si>
    <t>Heures restante estimées</t>
  </si>
  <si>
    <t>Test cas dépassement tampon</t>
  </si>
  <si>
    <t xml:space="preserve">Test cas sans caractère nul </t>
  </si>
  <si>
    <t>Test des "bugs" supposé être corrigé par 
memccpy énoncé dans le document</t>
  </si>
  <si>
    <t>Tests dépassement Tampon</t>
  </si>
  <si>
    <t xml:space="preserve">Test implémentation de référence triviale de la fonction memccpy dans le cas d’un dépassement de tampon </t>
  </si>
  <si>
    <t>TESTS - Cas de chaîne mal formée (sans ‘\0’ à la fin)</t>
  </si>
  <si>
    <t xml:space="preserve">Utilisation d’une implémentation de référence triviale de la fonction  memccpy dans le cas d’une chaîne mal formée </t>
  </si>
  <si>
    <t xml:space="preserve">Analyse: </t>
  </si>
  <si>
    <t>Rédaction compte rendu des tests</t>
  </si>
  <si>
    <t>Compte rendu des temps d'execution</t>
  </si>
  <si>
    <t>Test de la fonction strntcat avec 
différentes forme d'intialisation pour chaine destination</t>
  </si>
  <si>
    <t>Explication méthode test TDD</t>
  </si>
  <si>
    <t>Heures Estimée :</t>
  </si>
  <si>
    <t xml:space="preserve">Heures réelles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</si>
</sst>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7">
    <font>
      <sz val="11"/>
      <color theme="1"/>
      <name val="Arial"/>
    </font>
    <font>
      <sz val="11"/>
      <color theme="1"/>
      <name val="Calibri"/>
      <family val="2"/>
      <scheme val="minor"/>
    </font>
    <font>
      <sz val="11"/>
      <color theme="1"/>
      <name val="Calibri"/>
    </font>
    <font>
      <sz val="11"/>
      <color theme="1"/>
      <name val="Calibri"/>
    </font>
    <font>
      <b/>
      <sz val="14"/>
      <color rgb="FF000000"/>
      <name val="Calibri"/>
    </font>
    <font>
      <b/>
      <sz val="14"/>
      <color theme="1"/>
      <name val="Calibri"/>
    </font>
    <font>
      <b/>
      <sz val="12"/>
      <color theme="1"/>
      <name val="Calibri"/>
    </font>
    <font>
      <sz val="11"/>
      <color rgb="FF006100"/>
      <name val="Calibri"/>
    </font>
    <font>
      <sz val="11"/>
      <name val="Arial"/>
    </font>
    <font>
      <sz val="11"/>
      <color rgb="FF000000"/>
      <name val="Calibri"/>
    </font>
    <font>
      <sz val="11"/>
      <color rgb="FF000000"/>
      <name val="Arial"/>
    </font>
    <font>
      <sz val="11"/>
      <color theme="0"/>
      <name val="Arial"/>
    </font>
    <font>
      <sz val="11"/>
      <color theme="0"/>
      <name val="Calibri"/>
    </font>
    <font>
      <sz val="11"/>
      <color rgb="FF006100"/>
      <name val="Arial"/>
    </font>
    <font>
      <sz val="11"/>
      <color rgb="FF9C5700"/>
      <name val="Calibri"/>
    </font>
    <font>
      <sz val="11"/>
      <color rgb="FF9C0006"/>
      <name val="Calibri"/>
    </font>
    <font>
      <b/>
      <sz val="12"/>
      <color theme="0"/>
      <name val="Calibri"/>
    </font>
    <font>
      <sz val="12"/>
      <color theme="1"/>
      <name val="Calibri"/>
    </font>
    <font>
      <sz val="11"/>
      <color rgb="FF000000"/>
      <name val="Arial"/>
    </font>
    <font>
      <sz val="11"/>
      <color rgb="FF9C5700"/>
      <name val="Arial"/>
    </font>
    <font>
      <sz val="12"/>
      <color rgb="FF000000"/>
      <name val="Calibri"/>
    </font>
    <font>
      <sz val="11"/>
      <color rgb="FF000000"/>
      <name val="Inconsolata"/>
    </font>
    <font>
      <sz val="11"/>
      <color theme="0"/>
      <name val="Calibri"/>
      <family val="2"/>
      <scheme val="minor"/>
    </font>
    <font>
      <sz val="11"/>
      <color theme="1"/>
      <name val="Calibri"/>
      <family val="2"/>
    </font>
    <font>
      <b/>
      <sz val="12"/>
      <color theme="1"/>
      <name val="Calibri"/>
      <family val="2"/>
    </font>
    <font>
      <sz val="11"/>
      <color theme="1"/>
      <name val="Arial"/>
      <family val="2"/>
    </font>
    <font>
      <sz val="11"/>
      <color rgb="FF006100"/>
      <name val="Calibri"/>
      <family val="2"/>
      <scheme val="minor"/>
    </font>
  </fonts>
  <fills count="13">
    <fill>
      <patternFill patternType="none"/>
    </fill>
    <fill>
      <patternFill patternType="gray125"/>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theme="4"/>
        <bgColor theme="4"/>
      </patternFill>
    </fill>
    <fill>
      <patternFill patternType="solid">
        <fgColor rgb="FF6AA84F"/>
        <bgColor rgb="FF6AA84F"/>
      </patternFill>
    </fill>
    <fill>
      <patternFill patternType="solid">
        <fgColor rgb="FFFFFFFF"/>
        <bgColor rgb="FFFFFFFF"/>
      </patternFill>
    </fill>
    <fill>
      <patternFill patternType="solid">
        <fgColor theme="9"/>
      </patternFill>
    </fill>
    <fill>
      <patternFill patternType="solid">
        <fgColor rgb="FFC6EFCE"/>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6">
    <xf numFmtId="0" fontId="0" fillId="0" borderId="0"/>
    <xf numFmtId="0" fontId="22" fillId="8" borderId="0" applyNumberFormat="0" applyBorder="0" applyAlignment="0" applyProtection="0"/>
    <xf numFmtId="0" fontId="26" fillId="9" borderId="0" applyNumberFormat="0" applyBorder="0" applyAlignment="0" applyProtection="0"/>
    <xf numFmtId="0" fontId="22"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cellStyleXfs>
  <cellXfs count="121">
    <xf numFmtId="0" fontId="0" fillId="0" borderId="0" xfId="0" applyFont="1" applyAlignment="1"/>
    <xf numFmtId="0" fontId="2" fillId="0" borderId="1" xfId="0" applyFont="1" applyBorder="1"/>
    <xf numFmtId="0" fontId="2" fillId="0" borderId="1" xfId="0" applyFont="1" applyBorder="1" applyAlignment="1">
      <alignment horizontal="left" vertical="center"/>
    </xf>
    <xf numFmtId="0" fontId="2" fillId="0" borderId="0" xfId="0" applyFont="1"/>
    <xf numFmtId="0" fontId="2" fillId="0" borderId="1"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7" fillId="2" borderId="1" xfId="0" applyFont="1" applyFill="1" applyBorder="1" applyAlignment="1">
      <alignment horizontal="center" vertical="center"/>
    </xf>
    <xf numFmtId="0" fontId="2"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49" fontId="2" fillId="0" borderId="1" xfId="0" applyNumberFormat="1" applyFont="1" applyBorder="1" applyAlignment="1">
      <alignment horizontal="left" vertical="center" wrapText="1"/>
    </xf>
    <xf numFmtId="0" fontId="2" fillId="0" borderId="1" xfId="0" applyFont="1" applyBorder="1" applyAlignment="1">
      <alignment horizontal="right"/>
    </xf>
    <xf numFmtId="49" fontId="9" fillId="0" borderId="1" xfId="0" applyNumberFormat="1" applyFont="1" applyBorder="1" applyAlignment="1">
      <alignment horizontal="left" vertical="center" wrapText="1"/>
    </xf>
    <xf numFmtId="0" fontId="9" fillId="0" borderId="1" xfId="0" applyFont="1" applyBorder="1"/>
    <xf numFmtId="0" fontId="13" fillId="2" borderId="1"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9" fillId="0" borderId="1" xfId="0" applyFont="1" applyBorder="1" applyAlignment="1">
      <alignment horizontal="center" vertical="center"/>
    </xf>
    <xf numFmtId="49" fontId="9" fillId="0" borderId="1" xfId="0" applyNumberFormat="1" applyFont="1" applyBorder="1" applyAlignment="1">
      <alignment horizontal="left" vertical="center" wrapText="1"/>
    </xf>
    <xf numFmtId="0" fontId="9" fillId="0" borderId="1" xfId="0" applyFont="1" applyBorder="1" applyAlignment="1">
      <alignment horizontal="left" vertical="center" wrapText="1"/>
    </xf>
    <xf numFmtId="0" fontId="9" fillId="0" borderId="1" xfId="0" applyFont="1" applyBorder="1" applyAlignment="1"/>
    <xf numFmtId="0" fontId="15" fillId="4" borderId="1" xfId="0" applyFont="1" applyFill="1" applyBorder="1" applyAlignment="1">
      <alignment horizontal="center" vertical="center"/>
    </xf>
    <xf numFmtId="0" fontId="2" fillId="0" borderId="0" xfId="0" applyFont="1"/>
    <xf numFmtId="0" fontId="2" fillId="0" borderId="0" xfId="0" applyFont="1" applyAlignment="1">
      <alignment horizontal="left" vertical="center"/>
    </xf>
    <xf numFmtId="0" fontId="2" fillId="0" borderId="0" xfId="0" applyFont="1" applyAlignment="1">
      <alignment horizontal="center" vertical="center"/>
    </xf>
    <xf numFmtId="0" fontId="7" fillId="2" borderId="5" xfId="0" applyFont="1" applyFill="1" applyBorder="1" applyAlignment="1">
      <alignment horizontal="center" vertical="center"/>
    </xf>
    <xf numFmtId="0" fontId="2" fillId="0" borderId="0" xfId="0" applyFont="1" applyAlignment="1">
      <alignment horizontal="left" vertical="center"/>
    </xf>
    <xf numFmtId="0" fontId="12" fillId="5" borderId="5" xfId="0" applyFont="1" applyFill="1" applyBorder="1"/>
    <xf numFmtId="0" fontId="16" fillId="5" borderId="5" xfId="0" applyFont="1" applyFill="1" applyBorder="1" applyAlignment="1">
      <alignment horizontal="left" vertical="center"/>
    </xf>
    <xf numFmtId="0" fontId="16" fillId="5" borderId="5" xfId="0" applyFont="1" applyFill="1" applyBorder="1"/>
    <xf numFmtId="164" fontId="16" fillId="5" borderId="5" xfId="0" applyNumberFormat="1" applyFont="1" applyFill="1" applyBorder="1"/>
    <xf numFmtId="0" fontId="14" fillId="3" borderId="5" xfId="0" applyFont="1" applyFill="1" applyBorder="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center"/>
    </xf>
    <xf numFmtId="0" fontId="6" fillId="0" borderId="0" xfId="0" applyFont="1" applyAlignment="1">
      <alignment horizontal="center"/>
    </xf>
    <xf numFmtId="0" fontId="2" fillId="0" borderId="0" xfId="0" applyFont="1" applyAlignment="1">
      <alignment vertical="top" wrapText="1"/>
    </xf>
    <xf numFmtId="0" fontId="17" fillId="0" borderId="0" xfId="0" applyFont="1" applyAlignment="1">
      <alignment horizontal="center"/>
    </xf>
    <xf numFmtId="0" fontId="7" fillId="2" borderId="5" xfId="0" applyFont="1" applyFill="1" applyBorder="1" applyAlignment="1">
      <alignment horizontal="center"/>
    </xf>
    <xf numFmtId="0" fontId="2" fillId="0" borderId="1" xfId="0" applyFont="1" applyBorder="1" applyAlignment="1">
      <alignment horizontal="left" vertical="center" wrapText="1"/>
    </xf>
    <xf numFmtId="0" fontId="2" fillId="0" borderId="0" xfId="0" applyFont="1" applyAlignment="1">
      <alignment wrapText="1"/>
    </xf>
    <xf numFmtId="0" fontId="9" fillId="0" borderId="0" xfId="0" applyFont="1" applyAlignment="1">
      <alignment horizontal="center" vertical="center"/>
    </xf>
    <xf numFmtId="49" fontId="9" fillId="0" borderId="1" xfId="0" applyNumberFormat="1" applyFont="1" applyBorder="1" applyAlignment="1">
      <alignment horizontal="left" vertical="center" wrapText="1"/>
    </xf>
    <xf numFmtId="0" fontId="9" fillId="6" borderId="5" xfId="0" applyFont="1" applyFill="1" applyBorder="1" applyAlignment="1">
      <alignment horizontal="center"/>
    </xf>
    <xf numFmtId="49" fontId="2" fillId="0" borderId="0" xfId="0" applyNumberFormat="1" applyFont="1" applyAlignment="1">
      <alignment horizontal="left" vertical="center" wrapText="1"/>
    </xf>
    <xf numFmtId="0" fontId="18" fillId="6" borderId="5" xfId="0" applyFont="1" applyFill="1" applyBorder="1" applyAlignment="1">
      <alignment horizontal="center"/>
    </xf>
    <xf numFmtId="0" fontId="0" fillId="0" borderId="0" xfId="0" applyFont="1"/>
    <xf numFmtId="0" fontId="18"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center"/>
    </xf>
    <xf numFmtId="0" fontId="19" fillId="3" borderId="6" xfId="0" applyFont="1" applyFill="1" applyBorder="1" applyAlignment="1">
      <alignment horizontal="center" vertical="center"/>
    </xf>
    <xf numFmtId="0" fontId="12" fillId="5" borderId="5" xfId="0" applyFont="1" applyFill="1" applyBorder="1" applyAlignment="1">
      <alignment horizontal="center" vertical="center"/>
    </xf>
    <xf numFmtId="0" fontId="12" fillId="5" borderId="0" xfId="0" applyFont="1" applyFill="1"/>
    <xf numFmtId="0" fontId="16" fillId="5" borderId="0" xfId="0" applyFont="1" applyFill="1" applyAlignment="1">
      <alignment horizontal="left" vertical="center"/>
    </xf>
    <xf numFmtId="0" fontId="16" fillId="5" borderId="0" xfId="0" applyFont="1" applyFill="1"/>
    <xf numFmtId="0" fontId="21" fillId="7" borderId="0" xfId="0" applyFont="1" applyFill="1" applyAlignment="1"/>
    <xf numFmtId="0" fontId="2" fillId="0" borderId="11" xfId="0" applyFont="1" applyBorder="1"/>
    <xf numFmtId="0" fontId="2" fillId="0" borderId="7" xfId="0" applyFont="1" applyBorder="1" applyAlignment="1">
      <alignment horizontal="left" vertical="center"/>
    </xf>
    <xf numFmtId="0" fontId="2" fillId="0" borderId="7" xfId="0" applyFont="1" applyBorder="1"/>
    <xf numFmtId="0" fontId="7" fillId="2" borderId="7" xfId="0" applyFont="1" applyFill="1" applyBorder="1" applyAlignment="1">
      <alignment horizontal="center" vertical="center"/>
    </xf>
    <xf numFmtId="0" fontId="2" fillId="0" borderId="12" xfId="0" applyFont="1" applyBorder="1"/>
    <xf numFmtId="0" fontId="12" fillId="5" borderId="11" xfId="0" applyFont="1" applyFill="1" applyBorder="1"/>
    <xf numFmtId="0" fontId="12" fillId="5" borderId="12" xfId="0" applyFont="1" applyFill="1" applyBorder="1"/>
    <xf numFmtId="0" fontId="12" fillId="5" borderId="13" xfId="0" applyFont="1" applyFill="1" applyBorder="1"/>
    <xf numFmtId="0" fontId="12" fillId="5" borderId="15" xfId="0" applyFont="1" applyFill="1" applyBorder="1"/>
    <xf numFmtId="0" fontId="22" fillId="8" borderId="7" xfId="1" applyBorder="1" applyAlignment="1">
      <alignment horizontal="center" vertical="center"/>
    </xf>
    <xf numFmtId="0" fontId="24" fillId="0" borderId="8" xfId="0" applyFont="1" applyBorder="1"/>
    <xf numFmtId="0" fontId="24" fillId="0" borderId="9" xfId="0" applyFont="1" applyBorder="1" applyAlignment="1">
      <alignment horizontal="left" vertical="center"/>
    </xf>
    <xf numFmtId="0" fontId="24" fillId="0" borderId="9" xfId="0" applyFont="1" applyBorder="1"/>
    <xf numFmtId="0" fontId="24" fillId="0" borderId="9" xfId="0" applyFont="1" applyBorder="1" applyAlignment="1">
      <alignment horizontal="center" vertical="center"/>
    </xf>
    <xf numFmtId="0" fontId="24" fillId="0" borderId="10" xfId="0" applyFont="1" applyBorder="1"/>
    <xf numFmtId="0" fontId="24" fillId="5" borderId="7" xfId="0" applyFont="1" applyFill="1" applyBorder="1" applyAlignment="1">
      <alignment horizontal="left" vertical="center"/>
    </xf>
    <xf numFmtId="0" fontId="23" fillId="5" borderId="7" xfId="0" applyFont="1" applyFill="1" applyBorder="1"/>
    <xf numFmtId="0" fontId="24" fillId="5" borderId="7" xfId="0" applyFont="1" applyFill="1" applyBorder="1"/>
    <xf numFmtId="0" fontId="24" fillId="5" borderId="14" xfId="0" applyFont="1" applyFill="1" applyBorder="1" applyAlignment="1">
      <alignment horizontal="left" vertical="center"/>
    </xf>
    <xf numFmtId="0" fontId="23" fillId="5" borderId="14" xfId="0" applyFont="1" applyFill="1" applyBorder="1"/>
    <xf numFmtId="0" fontId="24" fillId="5" borderId="14" xfId="0" applyFont="1" applyFill="1" applyBorder="1"/>
    <xf numFmtId="164" fontId="24" fillId="5" borderId="14" xfId="0" applyNumberFormat="1" applyFont="1" applyFill="1" applyBorder="1"/>
    <xf numFmtId="0" fontId="3" fillId="0" borderId="0" xfId="0" applyFont="1" applyFill="1"/>
    <xf numFmtId="0" fontId="11" fillId="0" borderId="0" xfId="0" applyFont="1" applyFill="1"/>
    <xf numFmtId="0" fontId="0" fillId="0" borderId="6" xfId="0" applyBorder="1"/>
    <xf numFmtId="0" fontId="3" fillId="0" borderId="7" xfId="0" applyFont="1" applyBorder="1" applyAlignment="1"/>
    <xf numFmtId="0" fontId="0" fillId="0" borderId="7" xfId="0" applyFont="1" applyBorder="1" applyAlignment="1"/>
    <xf numFmtId="0" fontId="2" fillId="0" borderId="7" xfId="0" applyFont="1" applyBorder="1" applyAlignment="1">
      <alignment horizontal="center" vertical="center"/>
    </xf>
    <xf numFmtId="0" fontId="2" fillId="0" borderId="7" xfId="0" applyFont="1" applyBorder="1" applyAlignment="1">
      <alignment horizontal="left" vertical="center" wrapText="1"/>
    </xf>
    <xf numFmtId="0" fontId="8" fillId="0" borderId="7" xfId="0" applyFont="1" applyBorder="1" applyAlignment="1"/>
    <xf numFmtId="0" fontId="2" fillId="0" borderId="7" xfId="0" applyFont="1" applyBorder="1" applyAlignment="1">
      <alignment horizontal="center" vertical="center" wrapText="1"/>
    </xf>
    <xf numFmtId="0" fontId="9" fillId="0" borderId="7" xfId="0" applyFont="1" applyBorder="1" applyAlignment="1"/>
    <xf numFmtId="49" fontId="2" fillId="0" borderId="7" xfId="0" applyNumberFormat="1" applyFont="1" applyBorder="1" applyAlignment="1">
      <alignment horizontal="left" vertical="center" wrapText="1"/>
    </xf>
    <xf numFmtId="0" fontId="2" fillId="0" borderId="7" xfId="0" applyFont="1" applyFill="1" applyBorder="1"/>
    <xf numFmtId="0" fontId="8" fillId="0" borderId="7" xfId="0" applyFont="1" applyFill="1" applyBorder="1" applyAlignment="1"/>
    <xf numFmtId="49" fontId="9" fillId="0" borderId="7" xfId="0" applyNumberFormat="1" applyFont="1" applyBorder="1" applyAlignment="1">
      <alignment horizontal="left" vertical="center" wrapText="1"/>
    </xf>
    <xf numFmtId="0" fontId="10" fillId="0" borderId="7" xfId="0" applyFont="1" applyFill="1" applyBorder="1" applyAlignment="1"/>
    <xf numFmtId="0" fontId="0" fillId="0" borderId="7" xfId="0" applyBorder="1"/>
    <xf numFmtId="0" fontId="9" fillId="0" borderId="7" xfId="0" applyFont="1" applyBorder="1" applyAlignment="1">
      <alignment horizontal="center" vertical="center"/>
    </xf>
    <xf numFmtId="0" fontId="9" fillId="0" borderId="7" xfId="0" applyFont="1" applyBorder="1" applyAlignment="1">
      <alignment horizontal="left" vertical="center" wrapText="1"/>
    </xf>
    <xf numFmtId="0" fontId="3" fillId="0" borderId="7" xfId="0" applyFont="1" applyFill="1" applyBorder="1"/>
    <xf numFmtId="0" fontId="3" fillId="0" borderId="12" xfId="0" applyFont="1" applyFill="1" applyBorder="1"/>
    <xf numFmtId="0" fontId="3" fillId="0" borderId="14" xfId="0" applyFont="1" applyFill="1" applyBorder="1"/>
    <xf numFmtId="0" fontId="23" fillId="0" borderId="7" xfId="0" applyFont="1" applyFill="1" applyBorder="1" applyAlignment="1"/>
    <xf numFmtId="0" fontId="25" fillId="0" borderId="7" xfId="0" applyFont="1" applyBorder="1" applyAlignment="1"/>
    <xf numFmtId="2" fontId="0" fillId="0" borderId="7" xfId="0" applyNumberFormat="1" applyFont="1" applyBorder="1" applyAlignment="1"/>
    <xf numFmtId="0" fontId="6" fillId="0" borderId="2" xfId="0" applyFont="1" applyBorder="1" applyAlignment="1">
      <alignment horizontal="center"/>
    </xf>
    <xf numFmtId="0" fontId="8" fillId="0" borderId="4" xfId="0" applyFont="1" applyBorder="1"/>
    <xf numFmtId="0" fontId="6" fillId="0" borderId="2" xfId="0" applyFont="1" applyBorder="1" applyAlignment="1">
      <alignment horizontal="center" vertical="center" wrapText="1"/>
    </xf>
    <xf numFmtId="0" fontId="1" fillId="12" borderId="5" xfId="5" applyBorder="1"/>
    <xf numFmtId="0" fontId="1" fillId="11" borderId="5" xfId="4" applyBorder="1"/>
    <xf numFmtId="0" fontId="1" fillId="11" borderId="0" xfId="4" applyAlignment="1">
      <alignment horizontal="left" vertical="center" wrapText="1"/>
    </xf>
    <xf numFmtId="0" fontId="1" fillId="12" borderId="0" xfId="5" applyAlignment="1">
      <alignment horizontal="left" vertical="center"/>
    </xf>
    <xf numFmtId="0" fontId="1" fillId="12" borderId="5" xfId="5" applyBorder="1" applyAlignment="1">
      <alignment horizontal="left" vertical="center"/>
    </xf>
    <xf numFmtId="164" fontId="1" fillId="12" borderId="5" xfId="5" applyNumberFormat="1" applyBorder="1"/>
    <xf numFmtId="0" fontId="1" fillId="11" borderId="0" xfId="4" applyAlignment="1">
      <alignment horizontal="center" vertical="center"/>
    </xf>
    <xf numFmtId="0" fontId="1" fillId="12" borderId="0" xfId="5" applyAlignment="1">
      <alignment horizontal="center" vertical="center"/>
    </xf>
    <xf numFmtId="0" fontId="20" fillId="0" borderId="0" xfId="0" applyFont="1" applyAlignment="1">
      <alignment horizontal="center" vertical="center"/>
    </xf>
    <xf numFmtId="0" fontId="22" fillId="10" borderId="0" xfId="3" applyAlignment="1">
      <alignment horizontal="center" vertical="center"/>
    </xf>
    <xf numFmtId="0" fontId="22" fillId="10" borderId="0" xfId="3" applyAlignment="1">
      <alignment horizontal="left" vertical="center"/>
    </xf>
    <xf numFmtId="0" fontId="22" fillId="10" borderId="6" xfId="3" applyBorder="1"/>
    <xf numFmtId="0" fontId="26" fillId="9" borderId="6" xfId="2" applyBorder="1" applyAlignment="1">
      <alignment horizontal="center" vertical="center"/>
    </xf>
    <xf numFmtId="0" fontId="26" fillId="9" borderId="1" xfId="2" applyBorder="1" applyAlignment="1">
      <alignment horizontal="center" vertical="center"/>
    </xf>
  </cellXfs>
  <cellStyles count="6">
    <cellStyle name="20 % - Accent1" xfId="4" builtinId="30"/>
    <cellStyle name="40 % - Accent1" xfId="5" builtinId="31"/>
    <cellStyle name="Accent1" xfId="3" builtinId="29"/>
    <cellStyle name="Accent6" xfId="1" builtinId="49"/>
    <cellStyle name="Normal" xfId="0" builtinId="0"/>
    <cellStyle name="Satisfaisant" xfId="2" builtinId="26"/>
  </cellStyles>
  <dxfs count="46">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strike val="0"/>
        <outline val="0"/>
        <shadow val="0"/>
        <u val="none"/>
        <vertAlign val="baseline"/>
        <sz val="12"/>
        <color theme="1"/>
        <name val="Calibri"/>
        <family val="2"/>
        <scheme val="none"/>
      </font>
      <border diagonalUp="0" diagonalDown="0" outline="0">
        <left style="thin">
          <color indexed="64"/>
        </left>
        <right style="thin">
          <color indexed="64"/>
        </right>
        <top/>
        <bottom/>
      </border>
    </dxf>
    <dxf>
      <fill>
        <patternFill patternType="solid">
          <fgColor rgb="FFD9E2F3"/>
          <bgColor rgb="FFD9E2F3"/>
        </patternFill>
      </fill>
    </dxf>
    <dxf>
      <fill>
        <patternFill patternType="solid">
          <fgColor rgb="FFB4C6E7"/>
          <bgColor rgb="FFB4C6E7"/>
        </patternFill>
      </fill>
    </dxf>
    <dxf>
      <fill>
        <patternFill patternType="solid">
          <fgColor theme="4"/>
          <bgColor theme="4"/>
        </patternFill>
      </fill>
    </dxf>
    <dxf>
      <fill>
        <patternFill patternType="solid">
          <fgColor rgb="FFD9E2F3"/>
          <bgColor rgb="FFD9E2F3"/>
        </patternFill>
      </fill>
    </dxf>
    <dxf>
      <fill>
        <patternFill patternType="solid">
          <fgColor rgb="FFB4C6E7"/>
          <bgColor rgb="FFB4C6E7"/>
        </patternFill>
      </fill>
    </dxf>
    <dxf>
      <fill>
        <patternFill patternType="solid">
          <fgColor theme="4"/>
          <bgColor theme="4"/>
        </patternFill>
      </fill>
    </dxf>
    <dxf>
      <fill>
        <patternFill patternType="solid">
          <fgColor rgb="FFD9E2F3"/>
          <bgColor rgb="FFD9E2F3"/>
        </patternFill>
      </fill>
    </dxf>
    <dxf>
      <fill>
        <patternFill patternType="solid">
          <fgColor rgb="FFB4C6E7"/>
          <bgColor rgb="FFB4C6E7"/>
        </patternFill>
      </fill>
    </dxf>
    <dxf>
      <fill>
        <patternFill patternType="solid">
          <fgColor theme="4"/>
          <bgColor theme="4"/>
        </patternFill>
      </fill>
    </dxf>
    <dxf>
      <fill>
        <patternFill patternType="solid">
          <fgColor rgb="FFD9E2F3"/>
          <bgColor rgb="FFD9E2F3"/>
        </patternFill>
      </fill>
    </dxf>
    <dxf>
      <fill>
        <patternFill patternType="solid">
          <fgColor rgb="FFB4C6E7"/>
          <bgColor rgb="FFB4C6E7"/>
        </patternFill>
      </fill>
    </dxf>
    <dxf>
      <fill>
        <patternFill patternType="solid">
          <fgColor theme="4"/>
          <bgColor theme="4"/>
        </patternFill>
      </fill>
    </dxf>
    <dxf>
      <fill>
        <patternFill patternType="solid">
          <fgColor rgb="FFD9E2F3"/>
          <bgColor rgb="FFD9E2F3"/>
        </patternFill>
      </fill>
    </dxf>
    <dxf>
      <fill>
        <patternFill patternType="solid">
          <fgColor rgb="FFB4C6E7"/>
          <bgColor rgb="FFB4C6E7"/>
        </patternFill>
      </fill>
    </dxf>
    <dxf>
      <fill>
        <patternFill patternType="solid">
          <fgColor theme="4"/>
          <bgColor theme="4"/>
        </patternFill>
      </fill>
    </dxf>
    <dxf>
      <fill>
        <patternFill patternType="solid">
          <fgColor rgb="FFD9E2F3"/>
          <bgColor rgb="FFD9E2F3"/>
        </patternFill>
      </fill>
    </dxf>
    <dxf>
      <fill>
        <patternFill patternType="solid">
          <fgColor rgb="FFB4C6E7"/>
          <bgColor rgb="FFB4C6E7"/>
        </patternFill>
      </fill>
    </dxf>
    <dxf>
      <fill>
        <patternFill patternType="solid">
          <fgColor theme="4"/>
          <bgColor theme="4"/>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s>
  <tableStyles count="8">
    <tableStyle name="Estimation tâche-style" pivot="0" count="2" xr9:uid="{00000000-0011-0000-FFFF-FFFF00000000}">
      <tableStyleElement type="firstRowStripe" dxfId="45"/>
      <tableStyleElement type="secondRowStripe" dxfId="44"/>
    </tableStyle>
    <tableStyle name="Estimation tâche-style 2" pivot="0" count="2" xr9:uid="{00000000-0011-0000-FFFF-FFFF01000000}">
      <tableStyleElement type="firstRowStripe" dxfId="43"/>
      <tableStyleElement type="secondRowStripe" dxfId="42"/>
    </tableStyle>
    <tableStyle name="Sprint_1810-style" pivot="0" count="3" xr9:uid="{00000000-0011-0000-FFFF-FFFF02000000}">
      <tableStyleElement type="headerRow" dxfId="41"/>
      <tableStyleElement type="firstRowStripe" dxfId="40"/>
      <tableStyleElement type="secondRowStripe" dxfId="39"/>
    </tableStyle>
    <tableStyle name="Sprint_2410-style" pivot="0" count="3" xr9:uid="{00000000-0011-0000-FFFF-FFFF03000000}">
      <tableStyleElement type="headerRow" dxfId="38"/>
      <tableStyleElement type="firstRowStripe" dxfId="37"/>
      <tableStyleElement type="secondRowStripe" dxfId="36"/>
    </tableStyle>
    <tableStyle name="Sprint_0611-style" pivot="0" count="3" xr9:uid="{00000000-0011-0000-FFFF-FFFF04000000}">
      <tableStyleElement type="headerRow" dxfId="35"/>
      <tableStyleElement type="firstRowStripe" dxfId="34"/>
      <tableStyleElement type="secondRowStripe" dxfId="33"/>
    </tableStyle>
    <tableStyle name="Sprint_1511-style" pivot="0" count="3" xr9:uid="{00000000-0011-0000-FFFF-FFFF05000000}">
      <tableStyleElement type="headerRow" dxfId="32"/>
      <tableStyleElement type="firstRowStripe" dxfId="31"/>
      <tableStyleElement type="secondRowStripe" dxfId="30"/>
    </tableStyle>
    <tableStyle name="Sprint_21_11-style" pivot="0" count="3" xr9:uid="{00000000-0011-0000-FFFF-FFFF06000000}">
      <tableStyleElement type="headerRow" dxfId="29"/>
      <tableStyleElement type="firstRowStripe" dxfId="28"/>
      <tableStyleElement type="secondRowStripe" dxfId="27"/>
    </tableStyle>
    <tableStyle name="Sprint_0512-style" pivot="0" count="3" xr9:uid="{00000000-0011-0000-FFFF-FFFF07000000}">
      <tableStyleElement type="headerRow" dxfId="26"/>
      <tableStyleElement type="firstRowStripe" dxfId="25"/>
      <tableStyleElement type="secondRowStrip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Ecart de charge final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'Estimation tâche'!$F$1</c:f>
              <c:strCache>
                <c:ptCount val="1"/>
                <c:pt idx="0">
                  <c:v>Heures Estimée :</c:v>
                </c:pt>
              </c:strCache>
            </c:strRef>
          </c:tx>
          <c:spPr>
            <a:ln w="28575" cap="rnd">
              <a:solidFill>
                <a:schemeClr val="accent1"/>
              </a:solidFill>
              <a:round/>
            </a:ln>
            <a:effectLst/>
          </c:spPr>
          <c:marker>
            <c:symbol val="none"/>
          </c:marker>
          <c:val>
            <c:numRef>
              <c:f>'Estimation tâche'!$F$2:$F$25</c:f>
              <c:numCache>
                <c:formatCode>0.00</c:formatCode>
                <c:ptCount val="24"/>
                <c:pt idx="0" formatCode="General">
                  <c:v>86</c:v>
                </c:pt>
                <c:pt idx="1">
                  <c:v>82.260869565217391</c:v>
                </c:pt>
                <c:pt idx="2">
                  <c:v>78.521739130434781</c:v>
                </c:pt>
                <c:pt idx="3">
                  <c:v>74.782608695652172</c:v>
                </c:pt>
                <c:pt idx="4">
                  <c:v>71.043478260869563</c:v>
                </c:pt>
                <c:pt idx="5">
                  <c:v>67.304347826086953</c:v>
                </c:pt>
                <c:pt idx="6">
                  <c:v>63.565217391304344</c:v>
                </c:pt>
                <c:pt idx="7">
                  <c:v>59.826086956521735</c:v>
                </c:pt>
                <c:pt idx="8">
                  <c:v>56.086956521739125</c:v>
                </c:pt>
                <c:pt idx="9">
                  <c:v>52.347826086956516</c:v>
                </c:pt>
                <c:pt idx="10">
                  <c:v>48.608695652173907</c:v>
                </c:pt>
                <c:pt idx="11">
                  <c:v>44.869565217391298</c:v>
                </c:pt>
                <c:pt idx="12">
                  <c:v>41.130434782608688</c:v>
                </c:pt>
                <c:pt idx="13">
                  <c:v>37.391304347826079</c:v>
                </c:pt>
                <c:pt idx="14">
                  <c:v>33.65217391304347</c:v>
                </c:pt>
                <c:pt idx="15">
                  <c:v>29.91304347826086</c:v>
                </c:pt>
                <c:pt idx="16">
                  <c:v>26.173913043478251</c:v>
                </c:pt>
                <c:pt idx="17">
                  <c:v>22.434782608695642</c:v>
                </c:pt>
                <c:pt idx="18">
                  <c:v>18.695652173913032</c:v>
                </c:pt>
                <c:pt idx="19">
                  <c:v>14.956521739130423</c:v>
                </c:pt>
                <c:pt idx="20">
                  <c:v>11.217391304347814</c:v>
                </c:pt>
                <c:pt idx="21">
                  <c:v>7.4782608695652044</c:v>
                </c:pt>
                <c:pt idx="22">
                  <c:v>3.7391304347825955</c:v>
                </c:pt>
                <c:pt idx="23">
                  <c:v>-1.3322676295501878E-14</c:v>
                </c:pt>
              </c:numCache>
            </c:numRef>
          </c:val>
          <c:smooth val="0"/>
          <c:extLst>
            <c:ext xmlns:c16="http://schemas.microsoft.com/office/drawing/2014/chart" uri="{C3380CC4-5D6E-409C-BE32-E72D297353CC}">
              <c16:uniqueId val="{00000000-8EED-44FD-84C2-1493201339CD}"/>
            </c:ext>
          </c:extLst>
        </c:ser>
        <c:ser>
          <c:idx val="1"/>
          <c:order val="1"/>
          <c:tx>
            <c:strRef>
              <c:f>'Estimation tâche'!$G$1</c:f>
              <c:strCache>
                <c:ptCount val="1"/>
                <c:pt idx="0">
                  <c:v>Heures réelles : </c:v>
                </c:pt>
              </c:strCache>
            </c:strRef>
          </c:tx>
          <c:spPr>
            <a:ln w="28575" cap="rnd">
              <a:solidFill>
                <a:schemeClr val="accent2"/>
              </a:solidFill>
              <a:round/>
            </a:ln>
            <a:effectLst/>
          </c:spPr>
          <c:marker>
            <c:symbol val="none"/>
          </c:marker>
          <c:val>
            <c:numRef>
              <c:f>'Estimation tâche'!$G$2:$G$25</c:f>
              <c:numCache>
                <c:formatCode>General</c:formatCode>
                <c:ptCount val="24"/>
                <c:pt idx="0">
                  <c:v>86</c:v>
                </c:pt>
                <c:pt idx="1">
                  <c:v>85</c:v>
                </c:pt>
                <c:pt idx="2">
                  <c:v>81</c:v>
                </c:pt>
                <c:pt idx="3">
                  <c:v>79</c:v>
                </c:pt>
                <c:pt idx="4">
                  <c:v>78</c:v>
                </c:pt>
                <c:pt idx="5">
                  <c:v>72</c:v>
                </c:pt>
                <c:pt idx="6">
                  <c:v>66</c:v>
                </c:pt>
                <c:pt idx="7">
                  <c:v>65</c:v>
                </c:pt>
                <c:pt idx="8">
                  <c:v>61</c:v>
                </c:pt>
                <c:pt idx="9">
                  <c:v>58</c:v>
                </c:pt>
                <c:pt idx="10">
                  <c:v>53</c:v>
                </c:pt>
                <c:pt idx="11">
                  <c:v>44</c:v>
                </c:pt>
                <c:pt idx="12">
                  <c:v>39</c:v>
                </c:pt>
                <c:pt idx="13">
                  <c:v>35</c:v>
                </c:pt>
                <c:pt idx="14">
                  <c:v>34</c:v>
                </c:pt>
                <c:pt idx="15">
                  <c:v>33</c:v>
                </c:pt>
                <c:pt idx="16">
                  <c:v>31</c:v>
                </c:pt>
                <c:pt idx="17">
                  <c:v>28</c:v>
                </c:pt>
                <c:pt idx="18">
                  <c:v>25</c:v>
                </c:pt>
                <c:pt idx="19">
                  <c:v>23</c:v>
                </c:pt>
                <c:pt idx="20">
                  <c:v>20</c:v>
                </c:pt>
                <c:pt idx="21">
                  <c:v>14</c:v>
                </c:pt>
                <c:pt idx="22">
                  <c:v>13</c:v>
                </c:pt>
                <c:pt idx="23">
                  <c:v>12</c:v>
                </c:pt>
              </c:numCache>
            </c:numRef>
          </c:val>
          <c:smooth val="0"/>
          <c:extLst>
            <c:ext xmlns:c16="http://schemas.microsoft.com/office/drawing/2014/chart" uri="{C3380CC4-5D6E-409C-BE32-E72D297353CC}">
              <c16:uniqueId val="{00000001-8EED-44FD-84C2-1493201339CD}"/>
            </c:ext>
          </c:extLst>
        </c:ser>
        <c:dLbls>
          <c:showLegendKey val="0"/>
          <c:showVal val="0"/>
          <c:showCatName val="0"/>
          <c:showSerName val="0"/>
          <c:showPercent val="0"/>
          <c:showBubbleSize val="0"/>
        </c:dLbls>
        <c:smooth val="0"/>
        <c:axId val="496151616"/>
        <c:axId val="490734448"/>
      </c:lineChart>
      <c:catAx>
        <c:axId val="4961516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90734448"/>
        <c:crosses val="autoZero"/>
        <c:auto val="1"/>
        <c:lblAlgn val="ctr"/>
        <c:lblOffset val="100"/>
        <c:noMultiLvlLbl val="0"/>
      </c:catAx>
      <c:valAx>
        <c:axId val="49073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96151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paperSize="9" orientation="landscape" horizontalDpi="-3" verticalDpi="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lvl="0">
              <a:defRPr sz="1400" b="0" i="0">
                <a:solidFill>
                  <a:srgbClr val="595959"/>
                </a:solidFill>
                <a:latin typeface="+mn-lt"/>
              </a:defRPr>
            </a:pPr>
            <a:r>
              <a:rPr lang="fr-FR"/>
              <a:t>Burn Down Chart</a:t>
            </a:r>
          </a:p>
        </c:rich>
      </c:tx>
      <c:layout>
        <c:manualLayout>
          <c:xMode val="edge"/>
          <c:yMode val="edge"/>
          <c:x val="0.37526241134751775"/>
          <c:y val="2.6490066225165563E-2"/>
        </c:manualLayout>
      </c:layout>
      <c:overlay val="0"/>
    </c:title>
    <c:autoTitleDeleted val="0"/>
    <c:plotArea>
      <c:layout/>
      <c:lineChart>
        <c:grouping val="standard"/>
        <c:varyColors val="1"/>
        <c:ser>
          <c:idx val="0"/>
          <c:order val="0"/>
          <c:tx>
            <c:v>Heures réelles restantes</c:v>
          </c:tx>
          <c:spPr>
            <a:ln w="28575" cmpd="sng">
              <a:solidFill>
                <a:schemeClr val="accent1"/>
              </a:solidFill>
              <a:prstDash val="solid"/>
            </a:ln>
          </c:spPr>
          <c:marker>
            <c:symbol val="none"/>
          </c:marker>
          <c:cat>
            <c:strRef>
              <c:f>Sprint_1810!$F$1:$L$1</c:f>
              <c:strCache>
                <c:ptCount val="7"/>
                <c:pt idx="0">
                  <c:v>Jour 1</c:v>
                </c:pt>
                <c:pt idx="1">
                  <c:v>Jour 2</c:v>
                </c:pt>
                <c:pt idx="2">
                  <c:v>Jour 3</c:v>
                </c:pt>
                <c:pt idx="3">
                  <c:v>Jour 4</c:v>
                </c:pt>
                <c:pt idx="4">
                  <c:v>Jour 5</c:v>
                </c:pt>
                <c:pt idx="5">
                  <c:v>Jour 6</c:v>
                </c:pt>
                <c:pt idx="6">
                  <c:v>Jour 7</c:v>
                </c:pt>
              </c:strCache>
            </c:strRef>
          </c:cat>
          <c:val>
            <c:numRef>
              <c:f>Sprint_1810!$E$6:$L$6</c:f>
              <c:numCache>
                <c:formatCode>General</c:formatCode>
                <c:ptCount val="8"/>
                <c:pt idx="0">
                  <c:v>8</c:v>
                </c:pt>
                <c:pt idx="1">
                  <c:v>7</c:v>
                </c:pt>
                <c:pt idx="2">
                  <c:v>7</c:v>
                </c:pt>
                <c:pt idx="3">
                  <c:v>5</c:v>
                </c:pt>
                <c:pt idx="4">
                  <c:v>3</c:v>
                </c:pt>
                <c:pt idx="5">
                  <c:v>3</c:v>
                </c:pt>
                <c:pt idx="6">
                  <c:v>1</c:v>
                </c:pt>
                <c:pt idx="7">
                  <c:v>1</c:v>
                </c:pt>
              </c:numCache>
            </c:numRef>
          </c:val>
          <c:smooth val="0"/>
          <c:extLst>
            <c:ext xmlns:c16="http://schemas.microsoft.com/office/drawing/2014/chart" uri="{C3380CC4-5D6E-409C-BE32-E72D297353CC}">
              <c16:uniqueId val="{00000000-129D-45E3-A67A-56E18E38839F}"/>
            </c:ext>
          </c:extLst>
        </c:ser>
        <c:ser>
          <c:idx val="1"/>
          <c:order val="1"/>
          <c:tx>
            <c:v>Heures restante estimée</c:v>
          </c:tx>
          <c:spPr>
            <a:ln w="28575" cmpd="sng">
              <a:solidFill>
                <a:schemeClr val="accent2"/>
              </a:solidFill>
              <a:prstDash val="solid"/>
            </a:ln>
          </c:spPr>
          <c:marker>
            <c:symbol val="none"/>
          </c:marker>
          <c:cat>
            <c:strRef>
              <c:f>Sprint_1810!$F$1:$L$1</c:f>
              <c:strCache>
                <c:ptCount val="7"/>
                <c:pt idx="0">
                  <c:v>Jour 1</c:v>
                </c:pt>
                <c:pt idx="1">
                  <c:v>Jour 2</c:v>
                </c:pt>
                <c:pt idx="2">
                  <c:v>Jour 3</c:v>
                </c:pt>
                <c:pt idx="3">
                  <c:v>Jour 4</c:v>
                </c:pt>
                <c:pt idx="4">
                  <c:v>Jour 5</c:v>
                </c:pt>
                <c:pt idx="5">
                  <c:v>Jour 6</c:v>
                </c:pt>
                <c:pt idx="6">
                  <c:v>Jour 7</c:v>
                </c:pt>
              </c:strCache>
            </c:strRef>
          </c:cat>
          <c:val>
            <c:numRef>
              <c:f>Sprint_1810!$E$7:$L$7</c:f>
              <c:numCache>
                <c:formatCode>0.0</c:formatCode>
                <c:ptCount val="8"/>
                <c:pt idx="0" formatCode="General">
                  <c:v>8</c:v>
                </c:pt>
                <c:pt idx="1">
                  <c:v>6.8571428571428577</c:v>
                </c:pt>
                <c:pt idx="2">
                  <c:v>5.7142857142857153</c:v>
                </c:pt>
                <c:pt idx="3">
                  <c:v>4.571428571428573</c:v>
                </c:pt>
                <c:pt idx="4">
                  <c:v>3.4285714285714302</c:v>
                </c:pt>
                <c:pt idx="5">
                  <c:v>2.2857142857142874</c:v>
                </c:pt>
                <c:pt idx="6">
                  <c:v>1.1428571428571446</c:v>
                </c:pt>
                <c:pt idx="7">
                  <c:v>1.7763568394002505E-15</c:v>
                </c:pt>
              </c:numCache>
            </c:numRef>
          </c:val>
          <c:smooth val="0"/>
          <c:extLst>
            <c:ext xmlns:c16="http://schemas.microsoft.com/office/drawing/2014/chart" uri="{C3380CC4-5D6E-409C-BE32-E72D297353CC}">
              <c16:uniqueId val="{00000001-129D-45E3-A67A-56E18E38839F}"/>
            </c:ext>
          </c:extLst>
        </c:ser>
        <c:dLbls>
          <c:showLegendKey val="0"/>
          <c:showVal val="0"/>
          <c:showCatName val="0"/>
          <c:showSerName val="0"/>
          <c:showPercent val="0"/>
          <c:showBubbleSize val="0"/>
        </c:dLbls>
        <c:smooth val="0"/>
        <c:axId val="480413973"/>
        <c:axId val="1882861951"/>
      </c:lineChart>
      <c:catAx>
        <c:axId val="480413973"/>
        <c:scaling>
          <c:orientation val="minMax"/>
        </c:scaling>
        <c:delete val="0"/>
        <c:axPos val="b"/>
        <c:title>
          <c:tx>
            <c:rich>
              <a:bodyPr/>
              <a:lstStyle/>
              <a:p>
                <a:pPr lvl="0">
                  <a:defRPr b="0" i="0">
                    <a:solidFill>
                      <a:srgbClr val="000000"/>
                    </a:solidFill>
                    <a:latin typeface="Calibri"/>
                  </a:defRPr>
                </a:pPr>
                <a:endParaRPr lang="fr-FR"/>
              </a:p>
            </c:rich>
          </c:tx>
          <c:overlay val="0"/>
        </c:title>
        <c:numFmt formatCode="General" sourceLinked="1"/>
        <c:majorTickMark val="cross"/>
        <c:minorTickMark val="cross"/>
        <c:tickLblPos val="nextTo"/>
        <c:txPr>
          <a:bodyPr/>
          <a:lstStyle/>
          <a:p>
            <a:pPr lvl="0">
              <a:defRPr sz="900" b="0" i="0">
                <a:solidFill>
                  <a:srgbClr val="595959"/>
                </a:solidFill>
                <a:latin typeface="+mn-lt"/>
              </a:defRPr>
            </a:pPr>
            <a:endParaRPr lang="fr-FR"/>
          </a:p>
        </c:txPr>
        <c:crossAx val="1882861951"/>
        <c:crosses val="autoZero"/>
        <c:auto val="1"/>
        <c:lblAlgn val="ctr"/>
        <c:lblOffset val="100"/>
        <c:noMultiLvlLbl val="1"/>
      </c:catAx>
      <c:valAx>
        <c:axId val="1882861951"/>
        <c:scaling>
          <c:orientation val="minMax"/>
        </c:scaling>
        <c:delete val="0"/>
        <c:axPos val="l"/>
        <c:majorGridlines>
          <c:spPr>
            <a:ln>
              <a:solidFill>
                <a:srgbClr val="D9D9D9"/>
              </a:solidFill>
            </a:ln>
          </c:spPr>
        </c:majorGridlines>
        <c:minorGridlines>
          <c:spPr>
            <a:ln>
              <a:solidFill>
                <a:srgbClr val="CCCCCC"/>
              </a:solidFill>
            </a:ln>
          </c:spPr>
        </c:minorGridlines>
        <c:title>
          <c:tx>
            <c:rich>
              <a:bodyPr/>
              <a:lstStyle/>
              <a:p>
                <a:pPr lvl="0">
                  <a:defRPr b="0" i="0">
                    <a:solidFill>
                      <a:srgbClr val="000000"/>
                    </a:solidFill>
                    <a:latin typeface="Calibri"/>
                  </a:defRPr>
                </a:pPr>
                <a:endParaRPr lang="fr-FR"/>
              </a:p>
            </c:rich>
          </c:tx>
          <c:overlay val="0"/>
        </c:title>
        <c:numFmt formatCode="General" sourceLinked="1"/>
        <c:majorTickMark val="cross"/>
        <c:minorTickMark val="cross"/>
        <c:tickLblPos val="nextTo"/>
        <c:spPr>
          <a:ln w="47625">
            <a:noFill/>
          </a:ln>
        </c:spPr>
        <c:txPr>
          <a:bodyPr/>
          <a:lstStyle/>
          <a:p>
            <a:pPr lvl="0">
              <a:defRPr sz="900" b="0" i="0">
                <a:solidFill>
                  <a:srgbClr val="595959"/>
                </a:solidFill>
                <a:latin typeface="+mn-lt"/>
              </a:defRPr>
            </a:pPr>
            <a:endParaRPr lang="fr-FR"/>
          </a:p>
        </c:txPr>
        <c:crossAx val="480413973"/>
        <c:crosses val="autoZero"/>
        <c:crossBetween val="between"/>
      </c:valAx>
      <c:spPr>
        <a:solidFill>
          <a:srgbClr val="FFFFFF"/>
        </a:solidFill>
      </c:spPr>
    </c:plotArea>
    <c:legend>
      <c:legendPos val="b"/>
      <c:overlay val="0"/>
      <c:txPr>
        <a:bodyPr/>
        <a:lstStyle/>
        <a:p>
          <a:pPr lvl="0">
            <a:defRPr sz="900" b="0" i="0">
              <a:solidFill>
                <a:srgbClr val="595959"/>
              </a:solidFill>
              <a:latin typeface="+mn-lt"/>
            </a:defRPr>
          </a:pPr>
          <a:endParaRPr lang="fr-FR"/>
        </a:p>
      </c:txPr>
    </c:legend>
    <c:plotVisOnly val="1"/>
    <c:dispBlanksAs val="zero"/>
    <c:showDLblsOverMax val="1"/>
  </c:chart>
  <c:spPr>
    <a:solidFill>
      <a:schemeClr val="lt1"/>
    </a:solidFill>
  </c:spPr>
  <c:printSettings>
    <c:headerFooter/>
    <c:pageMargins b="0.75" l="0.7" r="0.7" t="0.75" header="0.3" footer="0.3"/>
    <c:pageSetup paperSize="9" orientation="landscape" horizontalDpi="-3" verticalDpi="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lvl="0">
              <a:defRPr sz="1400" b="0" i="0">
                <a:solidFill>
                  <a:srgbClr val="595959"/>
                </a:solidFill>
                <a:latin typeface="+mn-lt"/>
              </a:defRPr>
            </a:pPr>
            <a:r>
              <a:rPr lang="fr-FR"/>
              <a:t>Burn Down Chart</a:t>
            </a:r>
          </a:p>
        </c:rich>
      </c:tx>
      <c:overlay val="0"/>
    </c:title>
    <c:autoTitleDeleted val="0"/>
    <c:plotArea>
      <c:layout/>
      <c:lineChart>
        <c:grouping val="standard"/>
        <c:varyColors val="1"/>
        <c:ser>
          <c:idx val="0"/>
          <c:order val="0"/>
          <c:spPr>
            <a:ln w="28575" cmpd="sng">
              <a:solidFill>
                <a:schemeClr val="accent1"/>
              </a:solidFill>
              <a:prstDash val="solid"/>
            </a:ln>
          </c:spPr>
          <c:marker>
            <c:symbol val="none"/>
          </c:marker>
          <c:cat>
            <c:strRef>
              <c:f>Sprint_2410!$E$1:$K$1</c:f>
              <c:strCache>
                <c:ptCount val="7"/>
                <c:pt idx="0">
                  <c:v>Jour 1</c:v>
                </c:pt>
                <c:pt idx="1">
                  <c:v>Jour 2</c:v>
                </c:pt>
                <c:pt idx="2">
                  <c:v>Jour 3</c:v>
                </c:pt>
                <c:pt idx="3">
                  <c:v>Jour 4</c:v>
                </c:pt>
                <c:pt idx="4">
                  <c:v>Jour 5</c:v>
                </c:pt>
                <c:pt idx="5">
                  <c:v>Jour 6</c:v>
                </c:pt>
                <c:pt idx="6">
                  <c:v>Jour 7</c:v>
                </c:pt>
              </c:strCache>
            </c:strRef>
          </c:cat>
          <c:val>
            <c:numRef>
              <c:f>Sprint_2410!$D$6:$K$6</c:f>
              <c:numCache>
                <c:formatCode>General</c:formatCode>
                <c:ptCount val="8"/>
                <c:pt idx="0">
                  <c:v>20</c:v>
                </c:pt>
                <c:pt idx="1">
                  <c:v>18</c:v>
                </c:pt>
                <c:pt idx="2">
                  <c:v>15</c:v>
                </c:pt>
                <c:pt idx="3">
                  <c:v>11</c:v>
                </c:pt>
                <c:pt idx="4">
                  <c:v>6</c:v>
                </c:pt>
                <c:pt idx="5">
                  <c:v>5</c:v>
                </c:pt>
                <c:pt idx="6">
                  <c:v>2</c:v>
                </c:pt>
                <c:pt idx="7">
                  <c:v>-3</c:v>
                </c:pt>
              </c:numCache>
            </c:numRef>
          </c:val>
          <c:smooth val="0"/>
          <c:extLst>
            <c:ext xmlns:c16="http://schemas.microsoft.com/office/drawing/2014/chart" uri="{C3380CC4-5D6E-409C-BE32-E72D297353CC}">
              <c16:uniqueId val="{00000000-10C7-422E-A080-5F4FD2C0347E}"/>
            </c:ext>
          </c:extLst>
        </c:ser>
        <c:ser>
          <c:idx val="1"/>
          <c:order val="1"/>
          <c:spPr>
            <a:ln w="28575" cmpd="sng">
              <a:solidFill>
                <a:schemeClr val="accent2"/>
              </a:solidFill>
              <a:prstDash val="solid"/>
            </a:ln>
          </c:spPr>
          <c:marker>
            <c:symbol val="none"/>
          </c:marker>
          <c:cat>
            <c:strRef>
              <c:f>Sprint_2410!$E$1:$K$1</c:f>
              <c:strCache>
                <c:ptCount val="7"/>
                <c:pt idx="0">
                  <c:v>Jour 1</c:v>
                </c:pt>
                <c:pt idx="1">
                  <c:v>Jour 2</c:v>
                </c:pt>
                <c:pt idx="2">
                  <c:v>Jour 3</c:v>
                </c:pt>
                <c:pt idx="3">
                  <c:v>Jour 4</c:v>
                </c:pt>
                <c:pt idx="4">
                  <c:v>Jour 5</c:v>
                </c:pt>
                <c:pt idx="5">
                  <c:v>Jour 6</c:v>
                </c:pt>
                <c:pt idx="6">
                  <c:v>Jour 7</c:v>
                </c:pt>
              </c:strCache>
            </c:strRef>
          </c:cat>
          <c:val>
            <c:numRef>
              <c:f>Sprint_2410!$D$7:$K$7</c:f>
              <c:numCache>
                <c:formatCode>0.0</c:formatCode>
                <c:ptCount val="8"/>
                <c:pt idx="0" formatCode="General">
                  <c:v>20</c:v>
                </c:pt>
                <c:pt idx="1">
                  <c:v>17.142857142857142</c:v>
                </c:pt>
                <c:pt idx="2">
                  <c:v>14.285714285714285</c:v>
                </c:pt>
                <c:pt idx="3">
                  <c:v>11.428571428571427</c:v>
                </c:pt>
                <c:pt idx="4">
                  <c:v>8.5714285714285694</c:v>
                </c:pt>
                <c:pt idx="5">
                  <c:v>5.7142857142857117</c:v>
                </c:pt>
                <c:pt idx="6">
                  <c:v>2.8571428571428545</c:v>
                </c:pt>
                <c:pt idx="7">
                  <c:v>0</c:v>
                </c:pt>
              </c:numCache>
            </c:numRef>
          </c:val>
          <c:smooth val="0"/>
          <c:extLst>
            <c:ext xmlns:c16="http://schemas.microsoft.com/office/drawing/2014/chart" uri="{C3380CC4-5D6E-409C-BE32-E72D297353CC}">
              <c16:uniqueId val="{00000001-10C7-422E-A080-5F4FD2C0347E}"/>
            </c:ext>
          </c:extLst>
        </c:ser>
        <c:dLbls>
          <c:showLegendKey val="0"/>
          <c:showVal val="0"/>
          <c:showCatName val="0"/>
          <c:showSerName val="0"/>
          <c:showPercent val="0"/>
          <c:showBubbleSize val="0"/>
        </c:dLbls>
        <c:smooth val="0"/>
        <c:axId val="392735711"/>
        <c:axId val="890492623"/>
      </c:lineChart>
      <c:catAx>
        <c:axId val="392735711"/>
        <c:scaling>
          <c:orientation val="minMax"/>
        </c:scaling>
        <c:delete val="0"/>
        <c:axPos val="b"/>
        <c:title>
          <c:tx>
            <c:rich>
              <a:bodyPr/>
              <a:lstStyle/>
              <a:p>
                <a:pPr lvl="0">
                  <a:defRPr b="0" i="0">
                    <a:solidFill>
                      <a:srgbClr val="000000"/>
                    </a:solidFill>
                    <a:latin typeface="Calibri"/>
                  </a:defRPr>
                </a:pPr>
                <a:endParaRPr lang="fr-FR"/>
              </a:p>
            </c:rich>
          </c:tx>
          <c:overlay val="0"/>
        </c:title>
        <c:numFmt formatCode="General" sourceLinked="1"/>
        <c:majorTickMark val="cross"/>
        <c:minorTickMark val="cross"/>
        <c:tickLblPos val="nextTo"/>
        <c:txPr>
          <a:bodyPr/>
          <a:lstStyle/>
          <a:p>
            <a:pPr lvl="0">
              <a:defRPr sz="900" b="0" i="0">
                <a:solidFill>
                  <a:srgbClr val="595959"/>
                </a:solidFill>
                <a:latin typeface="+mn-lt"/>
              </a:defRPr>
            </a:pPr>
            <a:endParaRPr lang="fr-FR"/>
          </a:p>
        </c:txPr>
        <c:crossAx val="890492623"/>
        <c:crosses val="autoZero"/>
        <c:auto val="1"/>
        <c:lblAlgn val="ctr"/>
        <c:lblOffset val="100"/>
        <c:noMultiLvlLbl val="1"/>
      </c:catAx>
      <c:valAx>
        <c:axId val="890492623"/>
        <c:scaling>
          <c:orientation val="minMax"/>
        </c:scaling>
        <c:delete val="0"/>
        <c:axPos val="l"/>
        <c:majorGridlines>
          <c:spPr>
            <a:ln>
              <a:solidFill>
                <a:srgbClr val="D9D9D9"/>
              </a:solidFill>
            </a:ln>
          </c:spPr>
        </c:majorGridlines>
        <c:minorGridlines>
          <c:spPr>
            <a:ln>
              <a:solidFill>
                <a:srgbClr val="CCCCCC"/>
              </a:solidFill>
            </a:ln>
          </c:spPr>
        </c:minorGridlines>
        <c:title>
          <c:tx>
            <c:rich>
              <a:bodyPr/>
              <a:lstStyle/>
              <a:p>
                <a:pPr lvl="0">
                  <a:defRPr b="0" i="0">
                    <a:solidFill>
                      <a:srgbClr val="000000"/>
                    </a:solidFill>
                    <a:latin typeface="Calibri"/>
                  </a:defRPr>
                </a:pPr>
                <a:endParaRPr lang="fr-FR"/>
              </a:p>
            </c:rich>
          </c:tx>
          <c:overlay val="0"/>
        </c:title>
        <c:numFmt formatCode="General" sourceLinked="1"/>
        <c:majorTickMark val="cross"/>
        <c:minorTickMark val="cross"/>
        <c:tickLblPos val="nextTo"/>
        <c:spPr>
          <a:ln w="47625">
            <a:noFill/>
          </a:ln>
        </c:spPr>
        <c:txPr>
          <a:bodyPr/>
          <a:lstStyle/>
          <a:p>
            <a:pPr lvl="0">
              <a:defRPr sz="900" b="0" i="0">
                <a:solidFill>
                  <a:srgbClr val="595959"/>
                </a:solidFill>
                <a:latin typeface="+mn-lt"/>
              </a:defRPr>
            </a:pPr>
            <a:endParaRPr lang="fr-FR"/>
          </a:p>
        </c:txPr>
        <c:crossAx val="392735711"/>
        <c:crosses val="autoZero"/>
        <c:crossBetween val="between"/>
      </c:valAx>
      <c:spPr>
        <a:solidFill>
          <a:srgbClr val="FFFFFF"/>
        </a:solidFill>
      </c:spPr>
    </c:plotArea>
    <c:legend>
      <c:legendPos val="b"/>
      <c:overlay val="0"/>
      <c:txPr>
        <a:bodyPr/>
        <a:lstStyle/>
        <a:p>
          <a:pPr lvl="0">
            <a:defRPr sz="900" b="0" i="0">
              <a:solidFill>
                <a:srgbClr val="595959"/>
              </a:solidFill>
              <a:latin typeface="+mn-lt"/>
            </a:defRPr>
          </a:pPr>
          <a:endParaRPr lang="fr-FR"/>
        </a:p>
      </c:txPr>
    </c:legend>
    <c:plotVisOnly val="1"/>
    <c:dispBlanksAs val="zero"/>
    <c:showDLblsOverMax val="1"/>
  </c:chart>
  <c:spPr>
    <a:solidFill>
      <a:schemeClr val="lt1"/>
    </a:solidFill>
  </c:sp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lvl="0">
              <a:defRPr sz="1400" b="0" i="0">
                <a:solidFill>
                  <a:srgbClr val="595959"/>
                </a:solidFill>
                <a:latin typeface="+mn-lt"/>
              </a:defRPr>
            </a:pPr>
            <a:r>
              <a:rPr lang="fr-FR"/>
              <a:t>Burn Down Chart</a:t>
            </a:r>
          </a:p>
        </c:rich>
      </c:tx>
      <c:overlay val="0"/>
    </c:title>
    <c:autoTitleDeleted val="0"/>
    <c:plotArea>
      <c:layout/>
      <c:lineChart>
        <c:grouping val="standard"/>
        <c:varyColors val="1"/>
        <c:ser>
          <c:idx val="0"/>
          <c:order val="0"/>
          <c:tx>
            <c:v>Nombre d'heures restantes</c:v>
          </c:tx>
          <c:spPr>
            <a:ln w="28575" cmpd="sng">
              <a:solidFill>
                <a:schemeClr val="accent1"/>
              </a:solidFill>
              <a:prstDash val="solid"/>
            </a:ln>
          </c:spPr>
          <c:marker>
            <c:symbol val="none"/>
          </c:marker>
          <c:cat>
            <c:strRef>
              <c:f>Sprint_0611!$E$1:$K$1</c:f>
              <c:strCache>
                <c:ptCount val="7"/>
                <c:pt idx="0">
                  <c:v>Jour 1</c:v>
                </c:pt>
                <c:pt idx="1">
                  <c:v>Jour 2</c:v>
                </c:pt>
                <c:pt idx="2">
                  <c:v>Jour 3</c:v>
                </c:pt>
                <c:pt idx="3">
                  <c:v>Jour 4</c:v>
                </c:pt>
                <c:pt idx="4">
                  <c:v>Jour 5</c:v>
                </c:pt>
                <c:pt idx="5">
                  <c:v>Jour 6</c:v>
                </c:pt>
                <c:pt idx="6">
                  <c:v>Jour 7</c:v>
                </c:pt>
              </c:strCache>
            </c:strRef>
          </c:cat>
          <c:val>
            <c:numRef>
              <c:f>Sprint_0611!$D$11:$K$11</c:f>
              <c:numCache>
                <c:formatCode>General</c:formatCode>
                <c:ptCount val="8"/>
                <c:pt idx="0">
                  <c:v>20</c:v>
                </c:pt>
                <c:pt idx="1">
                  <c:v>17</c:v>
                </c:pt>
                <c:pt idx="2">
                  <c:v>15</c:v>
                </c:pt>
                <c:pt idx="3">
                  <c:v>9</c:v>
                </c:pt>
                <c:pt idx="4">
                  <c:v>5</c:v>
                </c:pt>
                <c:pt idx="5">
                  <c:v>1</c:v>
                </c:pt>
                <c:pt idx="6">
                  <c:v>0</c:v>
                </c:pt>
                <c:pt idx="7">
                  <c:v>-1</c:v>
                </c:pt>
              </c:numCache>
            </c:numRef>
          </c:val>
          <c:smooth val="0"/>
          <c:extLst>
            <c:ext xmlns:c16="http://schemas.microsoft.com/office/drawing/2014/chart" uri="{C3380CC4-5D6E-409C-BE32-E72D297353CC}">
              <c16:uniqueId val="{00000000-4BA3-44EF-A5EB-78CE91447A1C}"/>
            </c:ext>
          </c:extLst>
        </c:ser>
        <c:ser>
          <c:idx val="1"/>
          <c:order val="1"/>
          <c:tx>
            <c:v>Nombre d'heures estimées restantes</c:v>
          </c:tx>
          <c:spPr>
            <a:ln w="28575" cmpd="sng">
              <a:solidFill>
                <a:schemeClr val="accent2"/>
              </a:solidFill>
              <a:prstDash val="solid"/>
            </a:ln>
          </c:spPr>
          <c:marker>
            <c:symbol val="none"/>
          </c:marker>
          <c:cat>
            <c:strRef>
              <c:f>Sprint_0611!$E$1:$K$1</c:f>
              <c:strCache>
                <c:ptCount val="7"/>
                <c:pt idx="0">
                  <c:v>Jour 1</c:v>
                </c:pt>
                <c:pt idx="1">
                  <c:v>Jour 2</c:v>
                </c:pt>
                <c:pt idx="2">
                  <c:v>Jour 3</c:v>
                </c:pt>
                <c:pt idx="3">
                  <c:v>Jour 4</c:v>
                </c:pt>
                <c:pt idx="4">
                  <c:v>Jour 5</c:v>
                </c:pt>
                <c:pt idx="5">
                  <c:v>Jour 6</c:v>
                </c:pt>
                <c:pt idx="6">
                  <c:v>Jour 7</c:v>
                </c:pt>
              </c:strCache>
            </c:strRef>
          </c:cat>
          <c:val>
            <c:numRef>
              <c:f>Sprint_0611!$D$12:$K$12</c:f>
              <c:numCache>
                <c:formatCode>0.0</c:formatCode>
                <c:ptCount val="8"/>
                <c:pt idx="0" formatCode="General">
                  <c:v>20</c:v>
                </c:pt>
                <c:pt idx="1">
                  <c:v>17.142857142857142</c:v>
                </c:pt>
                <c:pt idx="2">
                  <c:v>14.285714285714285</c:v>
                </c:pt>
                <c:pt idx="3">
                  <c:v>11.428571428571427</c:v>
                </c:pt>
                <c:pt idx="4">
                  <c:v>8.5714285714285694</c:v>
                </c:pt>
                <c:pt idx="5">
                  <c:v>5.7142857142857117</c:v>
                </c:pt>
                <c:pt idx="6">
                  <c:v>2.8571428571428545</c:v>
                </c:pt>
                <c:pt idx="7">
                  <c:v>0</c:v>
                </c:pt>
              </c:numCache>
            </c:numRef>
          </c:val>
          <c:smooth val="0"/>
          <c:extLst>
            <c:ext xmlns:c16="http://schemas.microsoft.com/office/drawing/2014/chart" uri="{C3380CC4-5D6E-409C-BE32-E72D297353CC}">
              <c16:uniqueId val="{00000001-4BA3-44EF-A5EB-78CE91447A1C}"/>
            </c:ext>
          </c:extLst>
        </c:ser>
        <c:dLbls>
          <c:showLegendKey val="0"/>
          <c:showVal val="0"/>
          <c:showCatName val="0"/>
          <c:showSerName val="0"/>
          <c:showPercent val="0"/>
          <c:showBubbleSize val="0"/>
        </c:dLbls>
        <c:smooth val="0"/>
        <c:axId val="2128448825"/>
        <c:axId val="1426868430"/>
      </c:lineChart>
      <c:catAx>
        <c:axId val="2128448825"/>
        <c:scaling>
          <c:orientation val="minMax"/>
        </c:scaling>
        <c:delete val="0"/>
        <c:axPos val="b"/>
        <c:title>
          <c:tx>
            <c:rich>
              <a:bodyPr/>
              <a:lstStyle/>
              <a:p>
                <a:pPr lvl="0">
                  <a:defRPr b="0" i="0">
                    <a:solidFill>
                      <a:srgbClr val="000000"/>
                    </a:solidFill>
                    <a:latin typeface="Calibri"/>
                  </a:defRPr>
                </a:pPr>
                <a:endParaRPr lang="fr-FR"/>
              </a:p>
            </c:rich>
          </c:tx>
          <c:overlay val="0"/>
        </c:title>
        <c:numFmt formatCode="General" sourceLinked="1"/>
        <c:majorTickMark val="cross"/>
        <c:minorTickMark val="cross"/>
        <c:tickLblPos val="nextTo"/>
        <c:txPr>
          <a:bodyPr/>
          <a:lstStyle/>
          <a:p>
            <a:pPr lvl="0">
              <a:defRPr sz="900" b="0" i="0">
                <a:solidFill>
                  <a:srgbClr val="595959"/>
                </a:solidFill>
                <a:latin typeface="+mn-lt"/>
              </a:defRPr>
            </a:pPr>
            <a:endParaRPr lang="fr-FR"/>
          </a:p>
        </c:txPr>
        <c:crossAx val="1426868430"/>
        <c:crosses val="autoZero"/>
        <c:auto val="1"/>
        <c:lblAlgn val="ctr"/>
        <c:lblOffset val="100"/>
        <c:noMultiLvlLbl val="1"/>
      </c:catAx>
      <c:valAx>
        <c:axId val="1426868430"/>
        <c:scaling>
          <c:orientation val="minMax"/>
        </c:scaling>
        <c:delete val="0"/>
        <c:axPos val="l"/>
        <c:majorGridlines>
          <c:spPr>
            <a:ln>
              <a:solidFill>
                <a:srgbClr val="D9D9D9"/>
              </a:solidFill>
            </a:ln>
          </c:spPr>
        </c:majorGridlines>
        <c:minorGridlines>
          <c:spPr>
            <a:ln>
              <a:solidFill>
                <a:srgbClr val="CCCCCC"/>
              </a:solidFill>
            </a:ln>
          </c:spPr>
        </c:minorGridlines>
        <c:title>
          <c:tx>
            <c:rich>
              <a:bodyPr/>
              <a:lstStyle/>
              <a:p>
                <a:pPr lvl="0">
                  <a:defRPr b="0" i="0">
                    <a:solidFill>
                      <a:srgbClr val="000000"/>
                    </a:solidFill>
                    <a:latin typeface="Calibri"/>
                  </a:defRPr>
                </a:pPr>
                <a:endParaRPr lang="fr-FR"/>
              </a:p>
            </c:rich>
          </c:tx>
          <c:overlay val="0"/>
        </c:title>
        <c:numFmt formatCode="General" sourceLinked="1"/>
        <c:majorTickMark val="cross"/>
        <c:minorTickMark val="cross"/>
        <c:tickLblPos val="nextTo"/>
        <c:spPr>
          <a:ln w="47625">
            <a:noFill/>
          </a:ln>
        </c:spPr>
        <c:txPr>
          <a:bodyPr/>
          <a:lstStyle/>
          <a:p>
            <a:pPr lvl="0">
              <a:defRPr sz="900" b="0" i="0">
                <a:solidFill>
                  <a:srgbClr val="595959"/>
                </a:solidFill>
                <a:latin typeface="+mn-lt"/>
              </a:defRPr>
            </a:pPr>
            <a:endParaRPr lang="fr-FR"/>
          </a:p>
        </c:txPr>
        <c:crossAx val="2128448825"/>
        <c:crosses val="autoZero"/>
        <c:crossBetween val="between"/>
      </c:valAx>
      <c:spPr>
        <a:solidFill>
          <a:srgbClr val="FFFFFF"/>
        </a:solidFill>
      </c:spPr>
    </c:plotArea>
    <c:legend>
      <c:legendPos val="b"/>
      <c:overlay val="0"/>
      <c:txPr>
        <a:bodyPr/>
        <a:lstStyle/>
        <a:p>
          <a:pPr lvl="0">
            <a:defRPr sz="900" b="0" i="0">
              <a:solidFill>
                <a:srgbClr val="595959"/>
              </a:solidFill>
              <a:latin typeface="+mn-lt"/>
            </a:defRPr>
          </a:pPr>
          <a:endParaRPr lang="fr-FR"/>
        </a:p>
      </c:txPr>
    </c:legend>
    <c:plotVisOnly val="1"/>
    <c:dispBlanksAs val="zero"/>
    <c:showDLblsOverMax val="1"/>
  </c:chart>
  <c:spPr>
    <a:solidFill>
      <a:schemeClr val="lt1"/>
    </a:solidFill>
  </c:sp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lvl="0">
              <a:defRPr sz="1400" b="0" i="0">
                <a:solidFill>
                  <a:srgbClr val="595959"/>
                </a:solidFill>
                <a:latin typeface="+mn-lt"/>
              </a:defRPr>
            </a:pPr>
            <a:r>
              <a:rPr lang="fr-FR"/>
              <a:t>Burn Down Chart</a:t>
            </a:r>
          </a:p>
        </c:rich>
      </c:tx>
      <c:overlay val="0"/>
    </c:title>
    <c:autoTitleDeleted val="0"/>
    <c:plotArea>
      <c:layout/>
      <c:lineChart>
        <c:grouping val="standard"/>
        <c:varyColors val="1"/>
        <c:ser>
          <c:idx val="0"/>
          <c:order val="0"/>
          <c:tx>
            <c:v>Nb heures restantes réelles</c:v>
          </c:tx>
          <c:spPr>
            <a:ln w="28575" cmpd="sng">
              <a:solidFill>
                <a:schemeClr val="accent1"/>
              </a:solidFill>
              <a:prstDash val="solid"/>
            </a:ln>
          </c:spPr>
          <c:marker>
            <c:symbol val="none"/>
          </c:marker>
          <c:cat>
            <c:strRef>
              <c:f>Sprint_1511!$E$1:$K$1</c:f>
              <c:strCache>
                <c:ptCount val="7"/>
                <c:pt idx="0">
                  <c:v>Jour 1</c:v>
                </c:pt>
                <c:pt idx="1">
                  <c:v>Jour 2</c:v>
                </c:pt>
                <c:pt idx="2">
                  <c:v>Jour 3</c:v>
                </c:pt>
                <c:pt idx="3">
                  <c:v>Jour 4</c:v>
                </c:pt>
                <c:pt idx="4">
                  <c:v>Jour 5</c:v>
                </c:pt>
                <c:pt idx="5">
                  <c:v>Jour 6</c:v>
                </c:pt>
                <c:pt idx="6">
                  <c:v>Jour 7</c:v>
                </c:pt>
              </c:strCache>
            </c:strRef>
          </c:cat>
          <c:val>
            <c:numRef>
              <c:f>Sprint_1511!$D$11:$K$11</c:f>
              <c:numCache>
                <c:formatCode>General</c:formatCode>
                <c:ptCount val="8"/>
                <c:pt idx="0">
                  <c:v>31</c:v>
                </c:pt>
                <c:pt idx="1">
                  <c:v>28</c:v>
                </c:pt>
                <c:pt idx="2">
                  <c:v>22</c:v>
                </c:pt>
                <c:pt idx="3">
                  <c:v>20</c:v>
                </c:pt>
                <c:pt idx="4">
                  <c:v>13</c:v>
                </c:pt>
                <c:pt idx="5">
                  <c:v>7</c:v>
                </c:pt>
                <c:pt idx="6">
                  <c:v>1</c:v>
                </c:pt>
                <c:pt idx="7">
                  <c:v>-1</c:v>
                </c:pt>
              </c:numCache>
            </c:numRef>
          </c:val>
          <c:smooth val="0"/>
          <c:extLst>
            <c:ext xmlns:c16="http://schemas.microsoft.com/office/drawing/2014/chart" uri="{C3380CC4-5D6E-409C-BE32-E72D297353CC}">
              <c16:uniqueId val="{00000000-2F23-4752-8E77-97F1D593220E}"/>
            </c:ext>
          </c:extLst>
        </c:ser>
        <c:ser>
          <c:idx val="1"/>
          <c:order val="1"/>
          <c:tx>
            <c:v>Nb Heures restantes estimées</c:v>
          </c:tx>
          <c:spPr>
            <a:ln w="28575" cmpd="sng">
              <a:solidFill>
                <a:schemeClr val="accent2"/>
              </a:solidFill>
              <a:prstDash val="solid"/>
            </a:ln>
          </c:spPr>
          <c:marker>
            <c:symbol val="none"/>
          </c:marker>
          <c:cat>
            <c:strRef>
              <c:f>Sprint_1511!$E$1:$K$1</c:f>
              <c:strCache>
                <c:ptCount val="7"/>
                <c:pt idx="0">
                  <c:v>Jour 1</c:v>
                </c:pt>
                <c:pt idx="1">
                  <c:v>Jour 2</c:v>
                </c:pt>
                <c:pt idx="2">
                  <c:v>Jour 3</c:v>
                </c:pt>
                <c:pt idx="3">
                  <c:v>Jour 4</c:v>
                </c:pt>
                <c:pt idx="4">
                  <c:v>Jour 5</c:v>
                </c:pt>
                <c:pt idx="5">
                  <c:v>Jour 6</c:v>
                </c:pt>
                <c:pt idx="6">
                  <c:v>Jour 7</c:v>
                </c:pt>
              </c:strCache>
            </c:strRef>
          </c:cat>
          <c:val>
            <c:numRef>
              <c:f>Sprint_1511!$D$12:$K$12</c:f>
              <c:numCache>
                <c:formatCode>0.0</c:formatCode>
                <c:ptCount val="8"/>
                <c:pt idx="0" formatCode="General">
                  <c:v>31</c:v>
                </c:pt>
                <c:pt idx="1">
                  <c:v>26.571428571428569</c:v>
                </c:pt>
                <c:pt idx="2">
                  <c:v>22.142857142857139</c:v>
                </c:pt>
                <c:pt idx="3">
                  <c:v>17.714285714285708</c:v>
                </c:pt>
                <c:pt idx="4">
                  <c:v>13.285714285714279</c:v>
                </c:pt>
                <c:pt idx="5">
                  <c:v>8.8571428571428505</c:v>
                </c:pt>
                <c:pt idx="6">
                  <c:v>4.4285714285714217</c:v>
                </c:pt>
                <c:pt idx="7">
                  <c:v>-7.1054273576010019E-15</c:v>
                </c:pt>
              </c:numCache>
            </c:numRef>
          </c:val>
          <c:smooth val="0"/>
          <c:extLst>
            <c:ext xmlns:c16="http://schemas.microsoft.com/office/drawing/2014/chart" uri="{C3380CC4-5D6E-409C-BE32-E72D297353CC}">
              <c16:uniqueId val="{00000001-2F23-4752-8E77-97F1D593220E}"/>
            </c:ext>
          </c:extLst>
        </c:ser>
        <c:dLbls>
          <c:showLegendKey val="0"/>
          <c:showVal val="0"/>
          <c:showCatName val="0"/>
          <c:showSerName val="0"/>
          <c:showPercent val="0"/>
          <c:showBubbleSize val="0"/>
        </c:dLbls>
        <c:smooth val="0"/>
        <c:axId val="1626542068"/>
        <c:axId val="1611475363"/>
      </c:lineChart>
      <c:catAx>
        <c:axId val="1626542068"/>
        <c:scaling>
          <c:orientation val="minMax"/>
        </c:scaling>
        <c:delete val="0"/>
        <c:axPos val="b"/>
        <c:title>
          <c:tx>
            <c:rich>
              <a:bodyPr/>
              <a:lstStyle/>
              <a:p>
                <a:pPr lvl="0">
                  <a:defRPr b="0" i="0">
                    <a:solidFill>
                      <a:srgbClr val="000000"/>
                    </a:solidFill>
                    <a:latin typeface="Calibri"/>
                  </a:defRPr>
                </a:pPr>
                <a:endParaRPr lang="fr-FR"/>
              </a:p>
            </c:rich>
          </c:tx>
          <c:overlay val="0"/>
        </c:title>
        <c:numFmt formatCode="General" sourceLinked="1"/>
        <c:majorTickMark val="cross"/>
        <c:minorTickMark val="cross"/>
        <c:tickLblPos val="nextTo"/>
        <c:txPr>
          <a:bodyPr/>
          <a:lstStyle/>
          <a:p>
            <a:pPr lvl="0">
              <a:defRPr sz="900" b="0" i="0">
                <a:solidFill>
                  <a:srgbClr val="595959"/>
                </a:solidFill>
                <a:latin typeface="+mn-lt"/>
              </a:defRPr>
            </a:pPr>
            <a:endParaRPr lang="fr-FR"/>
          </a:p>
        </c:txPr>
        <c:crossAx val="1611475363"/>
        <c:crosses val="autoZero"/>
        <c:auto val="1"/>
        <c:lblAlgn val="ctr"/>
        <c:lblOffset val="100"/>
        <c:noMultiLvlLbl val="1"/>
      </c:catAx>
      <c:valAx>
        <c:axId val="1611475363"/>
        <c:scaling>
          <c:orientation val="minMax"/>
        </c:scaling>
        <c:delete val="0"/>
        <c:axPos val="l"/>
        <c:majorGridlines>
          <c:spPr>
            <a:ln>
              <a:solidFill>
                <a:srgbClr val="D9D9D9"/>
              </a:solidFill>
            </a:ln>
          </c:spPr>
        </c:majorGridlines>
        <c:minorGridlines>
          <c:spPr>
            <a:ln>
              <a:solidFill>
                <a:srgbClr val="CCCCCC"/>
              </a:solidFill>
            </a:ln>
          </c:spPr>
        </c:minorGridlines>
        <c:title>
          <c:tx>
            <c:rich>
              <a:bodyPr/>
              <a:lstStyle/>
              <a:p>
                <a:pPr lvl="0">
                  <a:defRPr b="0" i="0">
                    <a:solidFill>
                      <a:srgbClr val="000000"/>
                    </a:solidFill>
                    <a:latin typeface="Calibri"/>
                  </a:defRPr>
                </a:pPr>
                <a:endParaRPr lang="fr-FR"/>
              </a:p>
            </c:rich>
          </c:tx>
          <c:overlay val="0"/>
        </c:title>
        <c:numFmt formatCode="General" sourceLinked="1"/>
        <c:majorTickMark val="cross"/>
        <c:minorTickMark val="cross"/>
        <c:tickLblPos val="nextTo"/>
        <c:spPr>
          <a:ln w="47625">
            <a:noFill/>
          </a:ln>
        </c:spPr>
        <c:txPr>
          <a:bodyPr/>
          <a:lstStyle/>
          <a:p>
            <a:pPr lvl="0">
              <a:defRPr sz="900" b="0" i="0">
                <a:solidFill>
                  <a:srgbClr val="595959"/>
                </a:solidFill>
                <a:latin typeface="+mn-lt"/>
              </a:defRPr>
            </a:pPr>
            <a:endParaRPr lang="fr-FR"/>
          </a:p>
        </c:txPr>
        <c:crossAx val="1626542068"/>
        <c:crosses val="autoZero"/>
        <c:crossBetween val="between"/>
      </c:valAx>
      <c:spPr>
        <a:solidFill>
          <a:srgbClr val="FFFFFF"/>
        </a:solidFill>
      </c:spPr>
    </c:plotArea>
    <c:legend>
      <c:legendPos val="b"/>
      <c:overlay val="0"/>
      <c:txPr>
        <a:bodyPr/>
        <a:lstStyle/>
        <a:p>
          <a:pPr lvl="0">
            <a:defRPr sz="900" b="0" i="0">
              <a:solidFill>
                <a:srgbClr val="595959"/>
              </a:solidFill>
              <a:latin typeface="+mn-lt"/>
            </a:defRPr>
          </a:pPr>
          <a:endParaRPr lang="fr-FR"/>
        </a:p>
      </c:txPr>
    </c:legend>
    <c:plotVisOnly val="1"/>
    <c:dispBlanksAs val="zero"/>
    <c:showDLblsOverMax val="1"/>
  </c:chart>
  <c:spPr>
    <a:solidFill>
      <a:schemeClr val="lt1"/>
    </a:solidFill>
  </c:sp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lvl="0">
              <a:defRPr sz="1400" b="0" i="0">
                <a:solidFill>
                  <a:srgbClr val="595959"/>
                </a:solidFill>
                <a:latin typeface="+mn-lt"/>
              </a:defRPr>
            </a:pPr>
            <a:r>
              <a:rPr lang="fr-FR"/>
              <a:t>Burn Down Chart</a:t>
            </a:r>
          </a:p>
        </c:rich>
      </c:tx>
      <c:overlay val="0"/>
    </c:title>
    <c:autoTitleDeleted val="0"/>
    <c:plotArea>
      <c:layout/>
      <c:lineChart>
        <c:grouping val="standard"/>
        <c:varyColors val="1"/>
        <c:ser>
          <c:idx val="0"/>
          <c:order val="0"/>
          <c:spPr>
            <a:ln w="28575" cmpd="sng">
              <a:solidFill>
                <a:schemeClr val="accent1"/>
              </a:solidFill>
              <a:prstDash val="solid"/>
            </a:ln>
          </c:spPr>
          <c:marker>
            <c:symbol val="none"/>
          </c:marker>
          <c:cat>
            <c:strRef>
              <c:f>Sprint_21_11!$E$1:$K$1</c:f>
              <c:strCache>
                <c:ptCount val="7"/>
                <c:pt idx="0">
                  <c:v>Jour 1</c:v>
                </c:pt>
                <c:pt idx="1">
                  <c:v>Jour 2</c:v>
                </c:pt>
                <c:pt idx="2">
                  <c:v>Jour 3</c:v>
                </c:pt>
                <c:pt idx="3">
                  <c:v>Jour 4</c:v>
                </c:pt>
                <c:pt idx="4">
                  <c:v>Jour 5</c:v>
                </c:pt>
                <c:pt idx="5">
                  <c:v>Jour 6</c:v>
                </c:pt>
                <c:pt idx="6">
                  <c:v>Jour 7</c:v>
                </c:pt>
              </c:strCache>
            </c:strRef>
          </c:cat>
          <c:val>
            <c:numRef>
              <c:f>Sprint_21_11!$D$10:$K$10</c:f>
              <c:numCache>
                <c:formatCode>General</c:formatCode>
                <c:ptCount val="8"/>
                <c:pt idx="0">
                  <c:v>18</c:v>
                </c:pt>
                <c:pt idx="1">
                  <c:v>17</c:v>
                </c:pt>
                <c:pt idx="2">
                  <c:v>15</c:v>
                </c:pt>
                <c:pt idx="3">
                  <c:v>14</c:v>
                </c:pt>
                <c:pt idx="4">
                  <c:v>11</c:v>
                </c:pt>
                <c:pt idx="5">
                  <c:v>7</c:v>
                </c:pt>
                <c:pt idx="6">
                  <c:v>3</c:v>
                </c:pt>
                <c:pt idx="7">
                  <c:v>3</c:v>
                </c:pt>
              </c:numCache>
            </c:numRef>
          </c:val>
          <c:smooth val="0"/>
          <c:extLst>
            <c:ext xmlns:c16="http://schemas.microsoft.com/office/drawing/2014/chart" uri="{C3380CC4-5D6E-409C-BE32-E72D297353CC}">
              <c16:uniqueId val="{00000000-68BE-4E05-A09D-8C1E8BE0DBE0}"/>
            </c:ext>
          </c:extLst>
        </c:ser>
        <c:ser>
          <c:idx val="1"/>
          <c:order val="1"/>
          <c:spPr>
            <a:ln w="28575" cmpd="sng">
              <a:solidFill>
                <a:schemeClr val="accent2"/>
              </a:solidFill>
              <a:prstDash val="solid"/>
            </a:ln>
          </c:spPr>
          <c:marker>
            <c:symbol val="none"/>
          </c:marker>
          <c:cat>
            <c:strRef>
              <c:f>Sprint_21_11!$E$1:$K$1</c:f>
              <c:strCache>
                <c:ptCount val="7"/>
                <c:pt idx="0">
                  <c:v>Jour 1</c:v>
                </c:pt>
                <c:pt idx="1">
                  <c:v>Jour 2</c:v>
                </c:pt>
                <c:pt idx="2">
                  <c:v>Jour 3</c:v>
                </c:pt>
                <c:pt idx="3">
                  <c:v>Jour 4</c:v>
                </c:pt>
                <c:pt idx="4">
                  <c:v>Jour 5</c:v>
                </c:pt>
                <c:pt idx="5">
                  <c:v>Jour 6</c:v>
                </c:pt>
                <c:pt idx="6">
                  <c:v>Jour 7</c:v>
                </c:pt>
              </c:strCache>
            </c:strRef>
          </c:cat>
          <c:val>
            <c:numRef>
              <c:f>Sprint_21_11!$D$11:$K$11</c:f>
              <c:numCache>
                <c:formatCode>0.0</c:formatCode>
                <c:ptCount val="8"/>
                <c:pt idx="0" formatCode="General">
                  <c:v>18</c:v>
                </c:pt>
                <c:pt idx="1">
                  <c:v>15.428571428571429</c:v>
                </c:pt>
                <c:pt idx="2">
                  <c:v>12.857142857142858</c:v>
                </c:pt>
                <c:pt idx="3">
                  <c:v>10.285714285714286</c:v>
                </c:pt>
                <c:pt idx="4">
                  <c:v>7.7142857142857153</c:v>
                </c:pt>
                <c:pt idx="5">
                  <c:v>5.1428571428571441</c:v>
                </c:pt>
                <c:pt idx="6">
                  <c:v>2.5714285714285725</c:v>
                </c:pt>
                <c:pt idx="7">
                  <c:v>0</c:v>
                </c:pt>
              </c:numCache>
            </c:numRef>
          </c:val>
          <c:smooth val="0"/>
          <c:extLst>
            <c:ext xmlns:c16="http://schemas.microsoft.com/office/drawing/2014/chart" uri="{C3380CC4-5D6E-409C-BE32-E72D297353CC}">
              <c16:uniqueId val="{00000001-68BE-4E05-A09D-8C1E8BE0DBE0}"/>
            </c:ext>
          </c:extLst>
        </c:ser>
        <c:dLbls>
          <c:showLegendKey val="0"/>
          <c:showVal val="0"/>
          <c:showCatName val="0"/>
          <c:showSerName val="0"/>
          <c:showPercent val="0"/>
          <c:showBubbleSize val="0"/>
        </c:dLbls>
        <c:smooth val="0"/>
        <c:axId val="1051559026"/>
        <c:axId val="1652136559"/>
      </c:lineChart>
      <c:catAx>
        <c:axId val="1051559026"/>
        <c:scaling>
          <c:orientation val="minMax"/>
        </c:scaling>
        <c:delete val="0"/>
        <c:axPos val="b"/>
        <c:title>
          <c:tx>
            <c:rich>
              <a:bodyPr/>
              <a:lstStyle/>
              <a:p>
                <a:pPr lvl="0">
                  <a:defRPr b="0" i="0">
                    <a:solidFill>
                      <a:srgbClr val="000000"/>
                    </a:solidFill>
                    <a:latin typeface="Calibri"/>
                  </a:defRPr>
                </a:pPr>
                <a:endParaRPr lang="fr-FR"/>
              </a:p>
            </c:rich>
          </c:tx>
          <c:overlay val="0"/>
        </c:title>
        <c:numFmt formatCode="General" sourceLinked="1"/>
        <c:majorTickMark val="cross"/>
        <c:minorTickMark val="cross"/>
        <c:tickLblPos val="nextTo"/>
        <c:txPr>
          <a:bodyPr/>
          <a:lstStyle/>
          <a:p>
            <a:pPr lvl="0">
              <a:defRPr sz="900" b="0" i="0">
                <a:solidFill>
                  <a:srgbClr val="595959"/>
                </a:solidFill>
                <a:latin typeface="+mn-lt"/>
              </a:defRPr>
            </a:pPr>
            <a:endParaRPr lang="fr-FR"/>
          </a:p>
        </c:txPr>
        <c:crossAx val="1652136559"/>
        <c:crosses val="autoZero"/>
        <c:auto val="1"/>
        <c:lblAlgn val="ctr"/>
        <c:lblOffset val="100"/>
        <c:noMultiLvlLbl val="1"/>
      </c:catAx>
      <c:valAx>
        <c:axId val="1652136559"/>
        <c:scaling>
          <c:orientation val="minMax"/>
        </c:scaling>
        <c:delete val="0"/>
        <c:axPos val="l"/>
        <c:majorGridlines>
          <c:spPr>
            <a:ln>
              <a:solidFill>
                <a:srgbClr val="D9D9D9"/>
              </a:solidFill>
            </a:ln>
          </c:spPr>
        </c:majorGridlines>
        <c:minorGridlines>
          <c:spPr>
            <a:ln>
              <a:solidFill>
                <a:srgbClr val="CCCCCC"/>
              </a:solidFill>
            </a:ln>
          </c:spPr>
        </c:minorGridlines>
        <c:title>
          <c:tx>
            <c:rich>
              <a:bodyPr/>
              <a:lstStyle/>
              <a:p>
                <a:pPr lvl="0">
                  <a:defRPr b="0" i="0">
                    <a:solidFill>
                      <a:srgbClr val="000000"/>
                    </a:solidFill>
                    <a:latin typeface="Calibri"/>
                  </a:defRPr>
                </a:pPr>
                <a:endParaRPr lang="fr-FR"/>
              </a:p>
            </c:rich>
          </c:tx>
          <c:overlay val="0"/>
        </c:title>
        <c:numFmt formatCode="General" sourceLinked="1"/>
        <c:majorTickMark val="cross"/>
        <c:minorTickMark val="cross"/>
        <c:tickLblPos val="nextTo"/>
        <c:spPr>
          <a:ln w="47625">
            <a:noFill/>
          </a:ln>
        </c:spPr>
        <c:txPr>
          <a:bodyPr/>
          <a:lstStyle/>
          <a:p>
            <a:pPr lvl="0">
              <a:defRPr sz="900" b="0" i="0">
                <a:solidFill>
                  <a:srgbClr val="595959"/>
                </a:solidFill>
                <a:latin typeface="+mn-lt"/>
              </a:defRPr>
            </a:pPr>
            <a:endParaRPr lang="fr-FR"/>
          </a:p>
        </c:txPr>
        <c:crossAx val="1051559026"/>
        <c:crosses val="autoZero"/>
        <c:crossBetween val="between"/>
      </c:valAx>
      <c:spPr>
        <a:solidFill>
          <a:srgbClr val="FFFFFF"/>
        </a:solidFill>
      </c:spPr>
    </c:plotArea>
    <c:legend>
      <c:legendPos val="b"/>
      <c:overlay val="0"/>
      <c:txPr>
        <a:bodyPr/>
        <a:lstStyle/>
        <a:p>
          <a:pPr lvl="0">
            <a:defRPr sz="900" b="0" i="0">
              <a:solidFill>
                <a:srgbClr val="595959"/>
              </a:solidFill>
              <a:latin typeface="+mn-lt"/>
            </a:defRPr>
          </a:pPr>
          <a:endParaRPr lang="fr-FR"/>
        </a:p>
      </c:txPr>
    </c:legend>
    <c:plotVisOnly val="1"/>
    <c:dispBlanksAs val="zero"/>
    <c:showDLblsOverMax val="1"/>
  </c:chart>
  <c:spPr>
    <a:solidFill>
      <a:schemeClr val="lt1"/>
    </a:solidFill>
  </c:sp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i="0">
                <a:solidFill>
                  <a:srgbClr val="595959"/>
                </a:solidFill>
                <a:latin typeface="+mn-lt"/>
              </a:defRPr>
            </a:pPr>
            <a:r>
              <a:rPr lang="fr-FR"/>
              <a:t>Burn Down Chart</a:t>
            </a:r>
          </a:p>
        </c:rich>
      </c:tx>
      <c:overlay val="0"/>
    </c:title>
    <c:autoTitleDeleted val="0"/>
    <c:plotArea>
      <c:layout/>
      <c:lineChart>
        <c:grouping val="standard"/>
        <c:varyColors val="1"/>
        <c:ser>
          <c:idx val="0"/>
          <c:order val="0"/>
          <c:tx>
            <c:v>Nb Heures restantes réelles</c:v>
          </c:tx>
          <c:spPr>
            <a:ln w="28575" cmpd="sng">
              <a:solidFill>
                <a:schemeClr val="accent1"/>
              </a:solidFill>
              <a:prstDash val="solid"/>
            </a:ln>
          </c:spPr>
          <c:marker>
            <c:symbol val="none"/>
          </c:marker>
          <c:cat>
            <c:strRef>
              <c:f>'Sprint_21_11 (2)'!$E$1:$K$1</c:f>
              <c:strCache>
                <c:ptCount val="7"/>
                <c:pt idx="0">
                  <c:v>Jour 1</c:v>
                </c:pt>
                <c:pt idx="1">
                  <c:v>Jour 2</c:v>
                </c:pt>
                <c:pt idx="2">
                  <c:v>Jour 3</c:v>
                </c:pt>
                <c:pt idx="3">
                  <c:v>Jour 4</c:v>
                </c:pt>
                <c:pt idx="4">
                  <c:v>Jour 5</c:v>
                </c:pt>
                <c:pt idx="5">
                  <c:v>Jour 6</c:v>
                </c:pt>
                <c:pt idx="6">
                  <c:v>Jour 7</c:v>
                </c:pt>
              </c:strCache>
            </c:strRef>
          </c:cat>
          <c:val>
            <c:numRef>
              <c:f>'Sprint_21_11 (2)'!$D$6:$K$6</c:f>
              <c:numCache>
                <c:formatCode>General</c:formatCode>
                <c:ptCount val="8"/>
                <c:pt idx="0">
                  <c:v>10</c:v>
                </c:pt>
                <c:pt idx="1">
                  <c:v>7</c:v>
                </c:pt>
                <c:pt idx="2">
                  <c:v>5</c:v>
                </c:pt>
                <c:pt idx="3">
                  <c:v>5</c:v>
                </c:pt>
                <c:pt idx="4">
                  <c:v>4</c:v>
                </c:pt>
                <c:pt idx="5">
                  <c:v>3</c:v>
                </c:pt>
                <c:pt idx="6">
                  <c:v>3</c:v>
                </c:pt>
                <c:pt idx="7">
                  <c:v>2</c:v>
                </c:pt>
              </c:numCache>
            </c:numRef>
          </c:val>
          <c:smooth val="0"/>
          <c:extLst>
            <c:ext xmlns:c16="http://schemas.microsoft.com/office/drawing/2014/chart" uri="{C3380CC4-5D6E-409C-BE32-E72D297353CC}">
              <c16:uniqueId val="{00000000-C501-42FE-9E69-491D9872C7D1}"/>
            </c:ext>
          </c:extLst>
        </c:ser>
        <c:ser>
          <c:idx val="1"/>
          <c:order val="1"/>
          <c:tx>
            <c:v>Nb heures restantes estimées</c:v>
          </c:tx>
          <c:spPr>
            <a:ln w="28575" cmpd="sng">
              <a:solidFill>
                <a:schemeClr val="accent2"/>
              </a:solidFill>
              <a:prstDash val="solid"/>
            </a:ln>
          </c:spPr>
          <c:marker>
            <c:symbol val="none"/>
          </c:marker>
          <c:cat>
            <c:strRef>
              <c:f>'Sprint_21_11 (2)'!$E$1:$K$1</c:f>
              <c:strCache>
                <c:ptCount val="7"/>
                <c:pt idx="0">
                  <c:v>Jour 1</c:v>
                </c:pt>
                <c:pt idx="1">
                  <c:v>Jour 2</c:v>
                </c:pt>
                <c:pt idx="2">
                  <c:v>Jour 3</c:v>
                </c:pt>
                <c:pt idx="3">
                  <c:v>Jour 4</c:v>
                </c:pt>
                <c:pt idx="4">
                  <c:v>Jour 5</c:v>
                </c:pt>
                <c:pt idx="5">
                  <c:v>Jour 6</c:v>
                </c:pt>
                <c:pt idx="6">
                  <c:v>Jour 7</c:v>
                </c:pt>
              </c:strCache>
            </c:strRef>
          </c:cat>
          <c:val>
            <c:numRef>
              <c:f>'Sprint_21_11 (2)'!$D$7:$K$7</c:f>
              <c:numCache>
                <c:formatCode>0.0</c:formatCode>
                <c:ptCount val="8"/>
                <c:pt idx="0" formatCode="General">
                  <c:v>10</c:v>
                </c:pt>
                <c:pt idx="1">
                  <c:v>8.5714285714285712</c:v>
                </c:pt>
                <c:pt idx="2">
                  <c:v>7.1428571428571423</c:v>
                </c:pt>
                <c:pt idx="3">
                  <c:v>5.7142857142857135</c:v>
                </c:pt>
                <c:pt idx="4">
                  <c:v>4.2857142857142847</c:v>
                </c:pt>
                <c:pt idx="5">
                  <c:v>2.8571428571428559</c:v>
                </c:pt>
                <c:pt idx="6">
                  <c:v>1.4285714285714273</c:v>
                </c:pt>
                <c:pt idx="7">
                  <c:v>0</c:v>
                </c:pt>
              </c:numCache>
            </c:numRef>
          </c:val>
          <c:smooth val="0"/>
          <c:extLst>
            <c:ext xmlns:c16="http://schemas.microsoft.com/office/drawing/2014/chart" uri="{C3380CC4-5D6E-409C-BE32-E72D297353CC}">
              <c16:uniqueId val="{00000001-C501-42FE-9E69-491D9872C7D1}"/>
            </c:ext>
          </c:extLst>
        </c:ser>
        <c:dLbls>
          <c:showLegendKey val="0"/>
          <c:showVal val="0"/>
          <c:showCatName val="0"/>
          <c:showSerName val="0"/>
          <c:showPercent val="0"/>
          <c:showBubbleSize val="0"/>
        </c:dLbls>
        <c:smooth val="0"/>
        <c:axId val="1051559026"/>
        <c:axId val="1652136559"/>
      </c:lineChart>
      <c:catAx>
        <c:axId val="1051559026"/>
        <c:scaling>
          <c:orientation val="minMax"/>
        </c:scaling>
        <c:delete val="0"/>
        <c:axPos val="b"/>
        <c:title>
          <c:tx>
            <c:rich>
              <a:bodyPr/>
              <a:lstStyle/>
              <a:p>
                <a:pPr lvl="0">
                  <a:defRPr b="0" i="0">
                    <a:solidFill>
                      <a:srgbClr val="000000"/>
                    </a:solidFill>
                    <a:latin typeface="Calibri"/>
                  </a:defRPr>
                </a:pPr>
                <a:endParaRPr lang="fr-FR"/>
              </a:p>
            </c:rich>
          </c:tx>
          <c:overlay val="0"/>
        </c:title>
        <c:numFmt formatCode="General" sourceLinked="1"/>
        <c:majorTickMark val="cross"/>
        <c:minorTickMark val="cross"/>
        <c:tickLblPos val="nextTo"/>
        <c:txPr>
          <a:bodyPr/>
          <a:lstStyle/>
          <a:p>
            <a:pPr lvl="0">
              <a:defRPr sz="900" b="0" i="0">
                <a:solidFill>
                  <a:srgbClr val="595959"/>
                </a:solidFill>
                <a:latin typeface="+mn-lt"/>
              </a:defRPr>
            </a:pPr>
            <a:endParaRPr lang="fr-FR"/>
          </a:p>
        </c:txPr>
        <c:crossAx val="1652136559"/>
        <c:crosses val="autoZero"/>
        <c:auto val="1"/>
        <c:lblAlgn val="ctr"/>
        <c:lblOffset val="100"/>
        <c:noMultiLvlLbl val="1"/>
      </c:catAx>
      <c:valAx>
        <c:axId val="1652136559"/>
        <c:scaling>
          <c:orientation val="minMax"/>
        </c:scaling>
        <c:delete val="0"/>
        <c:axPos val="l"/>
        <c:majorGridlines>
          <c:spPr>
            <a:ln>
              <a:solidFill>
                <a:srgbClr val="D9D9D9"/>
              </a:solidFill>
            </a:ln>
          </c:spPr>
        </c:majorGridlines>
        <c:minorGridlines>
          <c:spPr>
            <a:ln>
              <a:solidFill>
                <a:srgbClr val="CCCCCC"/>
              </a:solidFill>
            </a:ln>
          </c:spPr>
        </c:minorGridlines>
        <c:title>
          <c:tx>
            <c:rich>
              <a:bodyPr/>
              <a:lstStyle/>
              <a:p>
                <a:pPr lvl="0">
                  <a:defRPr b="0" i="0">
                    <a:solidFill>
                      <a:srgbClr val="000000"/>
                    </a:solidFill>
                    <a:latin typeface="Calibri"/>
                  </a:defRPr>
                </a:pPr>
                <a:endParaRPr lang="fr-FR"/>
              </a:p>
            </c:rich>
          </c:tx>
          <c:overlay val="0"/>
        </c:title>
        <c:numFmt formatCode="General" sourceLinked="1"/>
        <c:majorTickMark val="cross"/>
        <c:minorTickMark val="cross"/>
        <c:tickLblPos val="nextTo"/>
        <c:spPr>
          <a:ln w="47625">
            <a:noFill/>
          </a:ln>
        </c:spPr>
        <c:txPr>
          <a:bodyPr/>
          <a:lstStyle/>
          <a:p>
            <a:pPr lvl="0">
              <a:defRPr sz="900" b="0" i="0">
                <a:solidFill>
                  <a:srgbClr val="595959"/>
                </a:solidFill>
                <a:latin typeface="+mn-lt"/>
              </a:defRPr>
            </a:pPr>
            <a:endParaRPr lang="fr-FR"/>
          </a:p>
        </c:txPr>
        <c:crossAx val="1051559026"/>
        <c:crosses val="autoZero"/>
        <c:crossBetween val="between"/>
      </c:valAx>
      <c:spPr>
        <a:solidFill>
          <a:srgbClr val="FFFFFF"/>
        </a:solidFill>
      </c:spPr>
    </c:plotArea>
    <c:legend>
      <c:legendPos val="b"/>
      <c:overlay val="0"/>
      <c:txPr>
        <a:bodyPr/>
        <a:lstStyle/>
        <a:p>
          <a:pPr lvl="0">
            <a:defRPr sz="900" b="0" i="0">
              <a:solidFill>
                <a:srgbClr val="595959"/>
              </a:solidFill>
              <a:latin typeface="+mn-lt"/>
            </a:defRPr>
          </a:pPr>
          <a:endParaRPr lang="fr-FR"/>
        </a:p>
      </c:txPr>
    </c:legend>
    <c:plotVisOnly val="1"/>
    <c:dispBlanksAs val="zero"/>
    <c:showDLblsOverMax val="1"/>
  </c:chart>
  <c:spPr>
    <a:solidFill>
      <a:schemeClr val="lt1"/>
    </a:solidFill>
  </c:sp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166687</xdr:colOff>
      <xdr:row>25</xdr:row>
      <xdr:rowOff>238125</xdr:rowOff>
    </xdr:from>
    <xdr:to>
      <xdr:col>9</xdr:col>
      <xdr:colOff>214312</xdr:colOff>
      <xdr:row>32</xdr:row>
      <xdr:rowOff>123825</xdr:rowOff>
    </xdr:to>
    <xdr:graphicFrame macro="">
      <xdr:nvGraphicFramePr>
        <xdr:cNvPr id="2" name="Graphique 1">
          <a:extLst>
            <a:ext uri="{FF2B5EF4-FFF2-40B4-BE49-F238E27FC236}">
              <a16:creationId xmlns:a16="http://schemas.microsoft.com/office/drawing/2014/main" id="{D6624F6B-9A39-4B55-A960-209F37800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47625</xdr:colOff>
      <xdr:row>7</xdr:row>
      <xdr:rowOff>47625</xdr:rowOff>
    </xdr:from>
    <xdr:ext cx="4476750" cy="2876550"/>
    <xdr:graphicFrame macro="">
      <xdr:nvGraphicFramePr>
        <xdr:cNvPr id="602773953" name="Chart 1">
          <a:extLst>
            <a:ext uri="{FF2B5EF4-FFF2-40B4-BE49-F238E27FC236}">
              <a16:creationId xmlns:a16="http://schemas.microsoft.com/office/drawing/2014/main" id="{00000000-0008-0000-0200-0000C199E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552450</xdr:colOff>
      <xdr:row>7</xdr:row>
      <xdr:rowOff>28575</xdr:rowOff>
    </xdr:from>
    <xdr:ext cx="2990850" cy="12763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3855338" y="3146588"/>
          <a:ext cx="2981325" cy="1266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Calibri"/>
            <a:buNone/>
          </a:pPr>
          <a:r>
            <a:rPr lang="en-US" sz="1100" b="1" u="sng">
              <a:solidFill>
                <a:schemeClr val="dk1"/>
              </a:solidFill>
              <a:latin typeface="Calibri"/>
              <a:ea typeface="Calibri"/>
              <a:cs typeface="Calibri"/>
              <a:sym typeface="Calibri"/>
            </a:rPr>
            <a:t>ANALYSE BDC :</a:t>
          </a:r>
          <a:endParaRPr sz="1100" b="1" u="sng"/>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Nous pouvons constater une avance sur ce sprint dû au fait de la simplicité du sprint (Début de projet). Mais également à cause d'une analyse trop simpliste des différents cas de bugs possibles sur memccpy</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257175</xdr:colOff>
      <xdr:row>10</xdr:row>
      <xdr:rowOff>133350</xdr:rowOff>
    </xdr:from>
    <xdr:ext cx="4476750" cy="2886075"/>
    <xdr:graphicFrame macro="">
      <xdr:nvGraphicFramePr>
        <xdr:cNvPr id="792349246" name="Chart 2">
          <a:extLst>
            <a:ext uri="{FF2B5EF4-FFF2-40B4-BE49-F238E27FC236}">
              <a16:creationId xmlns:a16="http://schemas.microsoft.com/office/drawing/2014/main" id="{00000000-0008-0000-0300-00003E4A3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0</xdr:colOff>
      <xdr:row>11</xdr:row>
      <xdr:rowOff>57150</xdr:rowOff>
    </xdr:from>
    <xdr:ext cx="4295775" cy="1638300"/>
    <xdr:sp macro="" textlink="">
      <xdr:nvSpPr>
        <xdr:cNvPr id="4" name="Shape 4">
          <a:extLst>
            <a:ext uri="{FF2B5EF4-FFF2-40B4-BE49-F238E27FC236}">
              <a16:creationId xmlns:a16="http://schemas.microsoft.com/office/drawing/2014/main" id="{00000000-0008-0000-0300-000004000000}"/>
            </a:ext>
          </a:extLst>
        </xdr:cNvPr>
        <xdr:cNvSpPr txBox="1"/>
      </xdr:nvSpPr>
      <xdr:spPr>
        <a:xfrm>
          <a:off x="3202875" y="2965613"/>
          <a:ext cx="4286250" cy="16287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dk1"/>
            </a:buClr>
            <a:buSzPts val="1100"/>
            <a:buFont typeface="Calibri"/>
            <a:buNone/>
          </a:pPr>
          <a:r>
            <a:rPr lang="en-US" sz="1100" b="1" u="sng">
              <a:solidFill>
                <a:schemeClr val="dk1"/>
              </a:solidFill>
              <a:latin typeface="Calibri"/>
              <a:ea typeface="Calibri"/>
              <a:cs typeface="Calibri"/>
              <a:sym typeface="Calibri"/>
            </a:rPr>
            <a:t>ANALYSE BDC : </a:t>
          </a: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Sur ce sprint, un retard est présent. Nous avons pris trop de temps dû à une mauvaise compréhension de la demande. Nous avons effectué les tests (dépassement tampon, caractère nul) pour chaque fonctions de chaînes (strcat, strcpy…) au lieu de l'unique fonction memccpy, de plus les tests n'étaient pas assez détaillés ni assez nombreux. Ce sprint n'était pas inutile mais peut être considéré comme mit à la poubelle. De plus les fonctionnalités développées ont été revue et plus détaillée</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447675</xdr:colOff>
      <xdr:row>16</xdr:row>
      <xdr:rowOff>152400</xdr:rowOff>
    </xdr:from>
    <xdr:ext cx="4476750" cy="2886075"/>
    <xdr:graphicFrame macro="">
      <xdr:nvGraphicFramePr>
        <xdr:cNvPr id="64589608" name="Chart 3">
          <a:extLst>
            <a:ext uri="{FF2B5EF4-FFF2-40B4-BE49-F238E27FC236}">
              <a16:creationId xmlns:a16="http://schemas.microsoft.com/office/drawing/2014/main" id="{00000000-0008-0000-0400-0000288FD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971550</xdr:colOff>
      <xdr:row>17</xdr:row>
      <xdr:rowOff>0</xdr:rowOff>
    </xdr:from>
    <xdr:ext cx="3276600" cy="2009775"/>
    <xdr:sp macro="" textlink="">
      <xdr:nvSpPr>
        <xdr:cNvPr id="5" name="Shape 5">
          <a:extLst>
            <a:ext uri="{FF2B5EF4-FFF2-40B4-BE49-F238E27FC236}">
              <a16:creationId xmlns:a16="http://schemas.microsoft.com/office/drawing/2014/main" id="{00000000-0008-0000-0400-000005000000}"/>
            </a:ext>
          </a:extLst>
        </xdr:cNvPr>
        <xdr:cNvSpPr txBox="1"/>
      </xdr:nvSpPr>
      <xdr:spPr>
        <a:xfrm>
          <a:off x="3712463" y="2779875"/>
          <a:ext cx="3267075" cy="20002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dk1"/>
            </a:buClr>
            <a:buSzPts val="1100"/>
            <a:buFont typeface="Calibri"/>
            <a:buNone/>
          </a:pPr>
          <a:r>
            <a:rPr lang="en-US" sz="1100" b="1" u="sng">
              <a:solidFill>
                <a:schemeClr val="dk1"/>
              </a:solidFill>
              <a:latin typeface="Calibri"/>
              <a:ea typeface="Calibri"/>
              <a:cs typeface="Calibri"/>
              <a:sym typeface="Calibri"/>
            </a:rPr>
            <a:t>ANALYSE BDC : </a:t>
          </a: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Ce sprint à était marqué sous le signe des découvertes et problèmes. Nous n'avions pas assez bien anticipé les problèmes qui pouvaient survenir durant les tests et le retard qui en découlerait. De plus, nous avons vu beaucoup trop gros et les heures estimées n'étaient pas correctes (Vu que les tests sur les chaines mal formées ne sont pas finis et que le temps attribué a été consommé)</a:t>
          </a:r>
          <a:endParaRPr sz="14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12</xdr:row>
      <xdr:rowOff>19050</xdr:rowOff>
    </xdr:from>
    <xdr:ext cx="4476750" cy="2876550"/>
    <xdr:graphicFrame macro="">
      <xdr:nvGraphicFramePr>
        <xdr:cNvPr id="1504289002" name="Chart 4">
          <a:extLst>
            <a:ext uri="{FF2B5EF4-FFF2-40B4-BE49-F238E27FC236}">
              <a16:creationId xmlns:a16="http://schemas.microsoft.com/office/drawing/2014/main" id="{00000000-0008-0000-0500-0000EAA0A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457200</xdr:colOff>
      <xdr:row>12</xdr:row>
      <xdr:rowOff>19050</xdr:rowOff>
    </xdr:from>
    <xdr:ext cx="3105150" cy="1104900"/>
    <xdr:sp macro="" textlink="">
      <xdr:nvSpPr>
        <xdr:cNvPr id="6" name="Shape 6">
          <a:extLst>
            <a:ext uri="{FF2B5EF4-FFF2-40B4-BE49-F238E27FC236}">
              <a16:creationId xmlns:a16="http://schemas.microsoft.com/office/drawing/2014/main" id="{00000000-0008-0000-0500-000006000000}"/>
            </a:ext>
          </a:extLst>
        </xdr:cNvPr>
        <xdr:cNvSpPr txBox="1"/>
      </xdr:nvSpPr>
      <xdr:spPr>
        <a:xfrm>
          <a:off x="3798188" y="3232313"/>
          <a:ext cx="3095625" cy="10953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dk1"/>
            </a:buClr>
            <a:buSzPts val="1100"/>
            <a:buFont typeface="Calibri"/>
            <a:buNone/>
          </a:pPr>
          <a:r>
            <a:rPr lang="en-US" sz="1100" b="1" u="sng">
              <a:solidFill>
                <a:schemeClr val="dk1"/>
              </a:solidFill>
              <a:latin typeface="Calibri"/>
              <a:ea typeface="Calibri"/>
              <a:cs typeface="Calibri"/>
              <a:sym typeface="Calibri"/>
            </a:rPr>
            <a:t>ANALYSE BDC : </a:t>
          </a: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Ce sprint est une réussite, autant en terme d'estimation des heures et des tâches à effectuer. Une bonne cohésion d'équipe et un travail sérieux a permis d'atteindre ce résultat et ainsi de rattraper le retard </a:t>
          </a: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12</xdr:row>
      <xdr:rowOff>19050</xdr:rowOff>
    </xdr:from>
    <xdr:ext cx="4476750" cy="2876550"/>
    <xdr:graphicFrame macro="">
      <xdr:nvGraphicFramePr>
        <xdr:cNvPr id="675419582" name="Chart 5">
          <a:extLst>
            <a:ext uri="{FF2B5EF4-FFF2-40B4-BE49-F238E27FC236}">
              <a16:creationId xmlns:a16="http://schemas.microsoft.com/office/drawing/2014/main" id="{00000000-0008-0000-0600-0000BE154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457200</xdr:colOff>
      <xdr:row>12</xdr:row>
      <xdr:rowOff>19050</xdr:rowOff>
    </xdr:from>
    <xdr:ext cx="3105150" cy="1552575"/>
    <xdr:sp macro="" textlink="">
      <xdr:nvSpPr>
        <xdr:cNvPr id="7" name="Shape 7">
          <a:extLst>
            <a:ext uri="{FF2B5EF4-FFF2-40B4-BE49-F238E27FC236}">
              <a16:creationId xmlns:a16="http://schemas.microsoft.com/office/drawing/2014/main" id="{00000000-0008-0000-0600-000007000000}"/>
            </a:ext>
          </a:extLst>
        </xdr:cNvPr>
        <xdr:cNvSpPr txBox="1"/>
      </xdr:nvSpPr>
      <xdr:spPr>
        <a:xfrm>
          <a:off x="3798188" y="3008475"/>
          <a:ext cx="3095625" cy="15430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dk1"/>
            </a:buClr>
            <a:buSzPts val="1100"/>
            <a:buFont typeface="Calibri"/>
            <a:buNone/>
          </a:pPr>
          <a:r>
            <a:rPr lang="en-US" sz="1100" b="1" u="sng">
              <a:solidFill>
                <a:schemeClr val="dk1"/>
              </a:solidFill>
              <a:latin typeface="Calibri"/>
              <a:ea typeface="Calibri"/>
              <a:cs typeface="Calibri"/>
              <a:sym typeface="Calibri"/>
            </a:rPr>
            <a:t>ANALYSE BDC : </a:t>
          </a: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Lors de ce sprint la prévision fut un peut trop large. Cela est dû au fait que nous avions à rédiger des manuels en C sur des fonctions dont le fonctionnement était assez recherché et professionnel, nous pensions avoir plus de difficultés à rédiger ces manuels </a:t>
          </a:r>
          <a:endParaRPr sz="11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3</xdr:col>
      <xdr:colOff>457200</xdr:colOff>
      <xdr:row>7</xdr:row>
      <xdr:rowOff>19050</xdr:rowOff>
    </xdr:from>
    <xdr:ext cx="3105150" cy="1104900"/>
    <xdr:sp macro="" textlink="">
      <xdr:nvSpPr>
        <xdr:cNvPr id="8" name="Shape 8">
          <a:extLst>
            <a:ext uri="{FF2B5EF4-FFF2-40B4-BE49-F238E27FC236}">
              <a16:creationId xmlns:a16="http://schemas.microsoft.com/office/drawing/2014/main" id="{00000000-0008-0000-0700-000008000000}"/>
            </a:ext>
          </a:extLst>
        </xdr:cNvPr>
        <xdr:cNvSpPr txBox="1"/>
      </xdr:nvSpPr>
      <xdr:spPr>
        <a:xfrm>
          <a:off x="3798188" y="3232313"/>
          <a:ext cx="3095625" cy="10953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dk1"/>
            </a:buClr>
            <a:buSzPts val="1100"/>
            <a:buFont typeface="Calibri"/>
            <a:buNone/>
          </a:pPr>
          <a:r>
            <a:rPr lang="en-US" sz="1100" b="1" u="sng">
              <a:solidFill>
                <a:schemeClr val="dk1"/>
              </a:solidFill>
              <a:latin typeface="Calibri"/>
              <a:ea typeface="Calibri"/>
              <a:cs typeface="Calibri"/>
              <a:sym typeface="Calibri"/>
            </a:rPr>
            <a:t>ANALYSE BDC : </a:t>
          </a: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Ce sprint est une réussite, autant en terme d'estimation des heures et des tâches à effectuer. Une bonne cohésion d'équipe et un travail sérieux a permis d'atteindre ce résultat et ainsi de rattraper le retard </a:t>
          </a:r>
          <a:endParaRPr sz="11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7</xdr:row>
      <xdr:rowOff>19050</xdr:rowOff>
    </xdr:from>
    <xdr:ext cx="4476750" cy="2876550"/>
    <xdr:graphicFrame macro="">
      <xdr:nvGraphicFramePr>
        <xdr:cNvPr id="2" name="Chart 5">
          <a:extLst>
            <a:ext uri="{FF2B5EF4-FFF2-40B4-BE49-F238E27FC236}">
              <a16:creationId xmlns:a16="http://schemas.microsoft.com/office/drawing/2014/main" id="{576BBB09-3FDC-440D-860C-D96CE874B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457200</xdr:colOff>
      <xdr:row>7</xdr:row>
      <xdr:rowOff>19050</xdr:rowOff>
    </xdr:from>
    <xdr:ext cx="3105150" cy="1552575"/>
    <xdr:sp macro="" textlink="">
      <xdr:nvSpPr>
        <xdr:cNvPr id="3" name="Shape 7">
          <a:extLst>
            <a:ext uri="{FF2B5EF4-FFF2-40B4-BE49-F238E27FC236}">
              <a16:creationId xmlns:a16="http://schemas.microsoft.com/office/drawing/2014/main" id="{F81BD988-7002-46AF-A76D-6E11EF2E341C}"/>
            </a:ext>
          </a:extLst>
        </xdr:cNvPr>
        <xdr:cNvSpPr txBox="1"/>
      </xdr:nvSpPr>
      <xdr:spPr>
        <a:xfrm>
          <a:off x="4476750" y="2905125"/>
          <a:ext cx="3105150" cy="15525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dk1"/>
            </a:buClr>
            <a:buSzPts val="1100"/>
            <a:buFont typeface="Calibri"/>
            <a:buNone/>
          </a:pPr>
          <a:r>
            <a:rPr lang="en-US" sz="1100" b="1" u="sng">
              <a:solidFill>
                <a:schemeClr val="dk1"/>
              </a:solidFill>
              <a:latin typeface="Calibri"/>
              <a:ea typeface="Calibri"/>
              <a:cs typeface="Calibri"/>
              <a:sym typeface="Calibri"/>
            </a:rPr>
            <a:t>ANALYSE BDC : </a:t>
          </a: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Lors de ce sprint la prévision fut un peut trop large. Cela est dû au fait que nous avions à rédiger des manuels en C sur des fonctions dont le fonctionnement était assez recherché et professionnel, nous pensions avoir plus de difficultés à rédiger ces manuels </a:t>
          </a:r>
          <a:endParaRPr sz="1100"/>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M7" headerRowDxfId="23" totalsRowDxfId="20" headerRowBorderDxfId="22" tableBorderDxfId="21">
  <tableColumns count="13">
    <tableColumn id="1" xr3:uid="{00000000-0010-0000-0200-000001000000}" name="ID" dataDxfId="19"/>
    <tableColumn id="2" xr3:uid="{00000000-0010-0000-0200-000002000000}" name="Fonctionnalitée " dataDxfId="18"/>
    <tableColumn id="3" xr3:uid="{00000000-0010-0000-0200-000003000000}" name="Sprint" dataDxfId="17"/>
    <tableColumn id="4" xr3:uid="{00000000-0010-0000-0200-000004000000}" name="Status" dataDxfId="16"/>
    <tableColumn id="5" xr3:uid="{00000000-0010-0000-0200-000005000000}" name="Heures de départ" dataDxfId="15"/>
    <tableColumn id="6" xr3:uid="{00000000-0010-0000-0200-000006000000}" name="Jour 1" dataDxfId="14"/>
    <tableColumn id="7" xr3:uid="{00000000-0010-0000-0200-000007000000}" name="Jour 2" dataDxfId="13"/>
    <tableColumn id="8" xr3:uid="{00000000-0010-0000-0200-000008000000}" name="Jour 3" dataDxfId="12"/>
    <tableColumn id="9" xr3:uid="{00000000-0010-0000-0200-000009000000}" name="Jour 4" dataDxfId="11"/>
    <tableColumn id="10" xr3:uid="{00000000-0010-0000-0200-00000A000000}" name="Jour 5" dataDxfId="10"/>
    <tableColumn id="11" xr3:uid="{00000000-0010-0000-0200-00000B000000}" name="Jour 6" dataDxfId="9"/>
    <tableColumn id="12" xr3:uid="{00000000-0010-0000-0200-00000C000000}" name="Jour 7" dataDxfId="8"/>
    <tableColumn id="13" xr3:uid="{00000000-0010-0000-0200-00000D000000}" name="Total" dataDxfId="7"/>
  </tableColumns>
  <tableStyleInfo name="Sprint_1810-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L7">
  <tableColumns count="12">
    <tableColumn id="1" xr3:uid="{00000000-0010-0000-0300-000001000000}" name="ID"/>
    <tableColumn id="2" xr3:uid="{00000000-0010-0000-0300-000002000000}" name="Fonctionnalitée "/>
    <tableColumn id="3" xr3:uid="{00000000-0010-0000-0300-000003000000}" name="Status"/>
    <tableColumn id="4" xr3:uid="{00000000-0010-0000-0300-000004000000}" name="Heures de départ"/>
    <tableColumn id="5" xr3:uid="{00000000-0010-0000-0300-000005000000}" name="Jour 1"/>
    <tableColumn id="6" xr3:uid="{00000000-0010-0000-0300-000006000000}" name="Jour 2"/>
    <tableColumn id="7" xr3:uid="{00000000-0010-0000-0300-000007000000}" name="Jour 3"/>
    <tableColumn id="8" xr3:uid="{00000000-0010-0000-0300-000008000000}" name="Jour 4"/>
    <tableColumn id="9" xr3:uid="{00000000-0010-0000-0300-000009000000}" name="Jour 5"/>
    <tableColumn id="10" xr3:uid="{00000000-0010-0000-0300-00000A000000}" name="Jour 6"/>
    <tableColumn id="11" xr3:uid="{00000000-0010-0000-0300-00000B000000}" name="Jour 7"/>
    <tableColumn id="12" xr3:uid="{00000000-0010-0000-0300-00000C000000}" name="Total"/>
  </tableColumns>
  <tableStyleInfo name="Sprint_2410-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L12">
  <tableColumns count="12">
    <tableColumn id="1" xr3:uid="{00000000-0010-0000-0400-000001000000}" name="ID"/>
    <tableColumn id="2" xr3:uid="{00000000-0010-0000-0400-000002000000}" name="Fonctionnalitée "/>
    <tableColumn id="3" xr3:uid="{00000000-0010-0000-0400-000003000000}" name="Status"/>
    <tableColumn id="4" xr3:uid="{00000000-0010-0000-0400-000004000000}" name="Heures de départ"/>
    <tableColumn id="5" xr3:uid="{00000000-0010-0000-0400-000005000000}" name="Jour 1"/>
    <tableColumn id="6" xr3:uid="{00000000-0010-0000-0400-000006000000}" name="Jour 2"/>
    <tableColumn id="7" xr3:uid="{00000000-0010-0000-0400-000007000000}" name="Jour 3"/>
    <tableColumn id="8" xr3:uid="{00000000-0010-0000-0400-000008000000}" name="Jour 4"/>
    <tableColumn id="9" xr3:uid="{00000000-0010-0000-0400-000009000000}" name="Jour 5"/>
    <tableColumn id="10" xr3:uid="{00000000-0010-0000-0400-00000A000000}" name="Jour 6"/>
    <tableColumn id="11" xr3:uid="{00000000-0010-0000-0400-00000B000000}" name="Jour 7"/>
    <tableColumn id="12" xr3:uid="{00000000-0010-0000-0400-00000C000000}" name="Total"/>
  </tableColumns>
  <tableStyleInfo name="Sprint_061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L12">
  <tableColumns count="12">
    <tableColumn id="1" xr3:uid="{00000000-0010-0000-0500-000001000000}" name="ID"/>
    <tableColumn id="2" xr3:uid="{00000000-0010-0000-0500-000002000000}" name="Fonctionnalitée "/>
    <tableColumn id="3" xr3:uid="{00000000-0010-0000-0500-000003000000}" name="Status"/>
    <tableColumn id="4" xr3:uid="{00000000-0010-0000-0500-000004000000}" name="Heures de départ"/>
    <tableColumn id="5" xr3:uid="{00000000-0010-0000-0500-000005000000}" name="Jour 1"/>
    <tableColumn id="6" xr3:uid="{00000000-0010-0000-0500-000006000000}" name="Jour 2"/>
    <tableColumn id="7" xr3:uid="{00000000-0010-0000-0500-000007000000}" name="Jour 3"/>
    <tableColumn id="8" xr3:uid="{00000000-0010-0000-0500-000008000000}" name="Jour 4"/>
    <tableColumn id="9" xr3:uid="{00000000-0010-0000-0500-000009000000}" name="Jour 5"/>
    <tableColumn id="10" xr3:uid="{00000000-0010-0000-0500-00000A000000}" name="Jour 6"/>
    <tableColumn id="11" xr3:uid="{00000000-0010-0000-0500-00000B000000}" name="Jour 7"/>
    <tableColumn id="12" xr3:uid="{00000000-0010-0000-0500-00000C000000}" name="Total"/>
  </tableColumns>
  <tableStyleInfo name="Sprint_151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L12">
  <tableColumns count="12">
    <tableColumn id="1" xr3:uid="{00000000-0010-0000-0600-000001000000}" name="ID"/>
    <tableColumn id="2" xr3:uid="{00000000-0010-0000-0600-000002000000}" name="Fonctionnalitée "/>
    <tableColumn id="3" xr3:uid="{00000000-0010-0000-0600-000003000000}" name="Status"/>
    <tableColumn id="4" xr3:uid="{00000000-0010-0000-0600-000004000000}" name="Heures de départ"/>
    <tableColumn id="5" xr3:uid="{00000000-0010-0000-0600-000005000000}" name="Jour 1"/>
    <tableColumn id="6" xr3:uid="{00000000-0010-0000-0600-000006000000}" name="Jour 2"/>
    <tableColumn id="7" xr3:uid="{00000000-0010-0000-0600-000007000000}" name="Jour 3"/>
    <tableColumn id="8" xr3:uid="{00000000-0010-0000-0600-000008000000}" name="Jour 4"/>
    <tableColumn id="9" xr3:uid="{00000000-0010-0000-0600-000009000000}" name="Jour 5"/>
    <tableColumn id="10" xr3:uid="{00000000-0010-0000-0600-00000A000000}" name="Jour 6"/>
    <tableColumn id="11" xr3:uid="{00000000-0010-0000-0600-00000B000000}" name="Jour 7"/>
    <tableColumn id="12" xr3:uid="{00000000-0010-0000-0600-00000C000000}" name="Total"/>
  </tableColumns>
  <tableStyleInfo name="Sprint_21_11-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1:L7">
  <tableColumns count="12">
    <tableColumn id="1" xr3:uid="{00000000-0010-0000-0700-000001000000}" name="ID"/>
    <tableColumn id="2" xr3:uid="{00000000-0010-0000-0700-000002000000}" name="Fonctionnalitée "/>
    <tableColumn id="3" xr3:uid="{00000000-0010-0000-0700-000003000000}" name="Status"/>
    <tableColumn id="4" xr3:uid="{00000000-0010-0000-0700-000004000000}" name="Heures de départ"/>
    <tableColumn id="5" xr3:uid="{00000000-0010-0000-0700-000005000000}" name="Jour 1"/>
    <tableColumn id="6" xr3:uid="{00000000-0010-0000-0700-000006000000}" name="Jour 2"/>
    <tableColumn id="7" xr3:uid="{00000000-0010-0000-0700-000007000000}" name="Jour 3"/>
    <tableColumn id="8" xr3:uid="{00000000-0010-0000-0700-000008000000}" name="Jour 4"/>
    <tableColumn id="9" xr3:uid="{00000000-0010-0000-0700-000009000000}" name="Jour 5"/>
    <tableColumn id="10" xr3:uid="{00000000-0010-0000-0700-00000A000000}" name="Jour 6"/>
    <tableColumn id="11" xr3:uid="{00000000-0010-0000-0700-00000B000000}" name="Jour 7"/>
    <tableColumn id="12" xr3:uid="{00000000-0010-0000-0700-00000C000000}" name="Total"/>
  </tableColumns>
  <tableStyleInfo name="Sprint_1810-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E5B313-B742-4CB5-AF63-06D9BDD12901}" name="Table_72" displayName="Table_72" ref="A1:L7">
  <tableColumns count="12">
    <tableColumn id="1" xr3:uid="{007F0240-CB55-49B2-82A6-8155696CF69F}" name="ID"/>
    <tableColumn id="2" xr3:uid="{37E8DF18-F6D4-4690-A950-EFAD3C3C1F46}" name="Fonctionnalitée "/>
    <tableColumn id="3" xr3:uid="{603CEDD1-E3FB-4E87-8B27-659E397DC37E}" name="Status"/>
    <tableColumn id="4" xr3:uid="{85BF9841-E027-405B-BF8C-4F64E49F82AA}" name="Heures de départ"/>
    <tableColumn id="5" xr3:uid="{90EEAFC1-C864-4F39-84B7-9E165F9E6D87}" name="Jour 1"/>
    <tableColumn id="6" xr3:uid="{D15DCA2F-9143-4BD1-9C05-635613109A68}" name="Jour 2"/>
    <tableColumn id="7" xr3:uid="{DDD6569F-29C5-464D-9960-2FEBB136EC41}" name="Jour 3"/>
    <tableColumn id="8" xr3:uid="{533A2A91-2676-4B9F-888E-83896118B8B7}" name="Jour 4"/>
    <tableColumn id="9" xr3:uid="{E184BCC1-2402-4492-A226-8E33DE857895}" name="Jour 5"/>
    <tableColumn id="10" xr3:uid="{406D2480-4264-43D6-8E7D-C4A83BF2036D}" name="Jour 6"/>
    <tableColumn id="11" xr3:uid="{4ADB6480-5EB9-478C-8743-EA36FEB177BB}" name="Jour 7"/>
    <tableColumn id="12" xr3:uid="{C0074210-265D-44B7-ADF9-A745F9A97088}" name="Total"/>
  </tableColumns>
  <tableStyleInfo name="Sprint_21_1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005"/>
  <sheetViews>
    <sheetView tabSelected="1" workbookViewId="0">
      <selection sqref="A1:E28"/>
    </sheetView>
  </sheetViews>
  <sheetFormatPr baseColWidth="10" defaultColWidth="12.625" defaultRowHeight="15" customHeight="1"/>
  <cols>
    <col min="1" max="1" width="6.625" customWidth="1"/>
    <col min="2" max="2" width="54.25" customWidth="1"/>
    <col min="3" max="3" width="9.375" customWidth="1"/>
    <col min="4" max="4" width="10" customWidth="1"/>
    <col min="5" max="26" width="9.375" customWidth="1"/>
  </cols>
  <sheetData>
    <row r="1" spans="1:5">
      <c r="A1" s="1" t="s">
        <v>0</v>
      </c>
      <c r="B1" s="2" t="s">
        <v>1</v>
      </c>
      <c r="C1" s="1" t="s">
        <v>4</v>
      </c>
      <c r="D1" s="1" t="s">
        <v>5</v>
      </c>
      <c r="E1" s="4" t="s">
        <v>6</v>
      </c>
    </row>
    <row r="2" spans="1:5" ht="18.75">
      <c r="A2" s="5"/>
      <c r="B2" s="6" t="s">
        <v>7</v>
      </c>
      <c r="C2" s="7"/>
      <c r="D2" s="7"/>
      <c r="E2" s="8"/>
    </row>
    <row r="3" spans="1:5">
      <c r="A3" s="4">
        <v>1</v>
      </c>
      <c r="B3" s="2" t="s">
        <v>8</v>
      </c>
      <c r="C3" s="1" t="s">
        <v>12</v>
      </c>
      <c r="D3" s="1">
        <v>1</v>
      </c>
      <c r="E3" s="9" t="s">
        <v>13</v>
      </c>
    </row>
    <row r="4" spans="1:5">
      <c r="A4" s="4">
        <f t="shared" ref="A4:A5" si="0">1+A3</f>
        <v>2</v>
      </c>
      <c r="B4" s="2" t="s">
        <v>9</v>
      </c>
      <c r="C4" s="1" t="s">
        <v>15</v>
      </c>
      <c r="D4" s="1">
        <v>1</v>
      </c>
      <c r="E4" s="9" t="s">
        <v>13</v>
      </c>
    </row>
    <row r="5" spans="1:5">
      <c r="A5" s="4">
        <f t="shared" si="0"/>
        <v>3</v>
      </c>
      <c r="B5" s="2" t="s">
        <v>10</v>
      </c>
      <c r="C5" s="1" t="s">
        <v>16</v>
      </c>
      <c r="D5" s="1">
        <v>1</v>
      </c>
      <c r="E5" s="9" t="s">
        <v>13</v>
      </c>
    </row>
    <row r="6" spans="1:5" ht="15.75">
      <c r="A6" s="104" t="s">
        <v>11</v>
      </c>
      <c r="B6" s="105"/>
      <c r="C6" s="1"/>
      <c r="D6" s="1"/>
      <c r="E6" s="9"/>
    </row>
    <row r="7" spans="1:5">
      <c r="A7" s="4">
        <f>1+A5</f>
        <v>4</v>
      </c>
      <c r="B7" s="2" t="s">
        <v>20</v>
      </c>
      <c r="C7" s="1" t="s">
        <v>12</v>
      </c>
      <c r="D7" s="1">
        <v>2.2999999999999998</v>
      </c>
      <c r="E7" s="9" t="s">
        <v>13</v>
      </c>
    </row>
    <row r="8" spans="1:5" ht="30">
      <c r="A8" s="4">
        <f t="shared" ref="A8:A9" si="1">1+A7</f>
        <v>5</v>
      </c>
      <c r="B8" s="10" t="s">
        <v>17</v>
      </c>
      <c r="C8" s="1" t="s">
        <v>15</v>
      </c>
      <c r="D8" s="1">
        <v>3</v>
      </c>
      <c r="E8" s="9" t="s">
        <v>13</v>
      </c>
    </row>
    <row r="9" spans="1:5" ht="30">
      <c r="A9" s="4">
        <f t="shared" si="1"/>
        <v>6</v>
      </c>
      <c r="B9" s="10" t="s">
        <v>18</v>
      </c>
      <c r="C9" s="1" t="s">
        <v>15</v>
      </c>
      <c r="D9" s="1">
        <v>3</v>
      </c>
      <c r="E9" s="9" t="s">
        <v>13</v>
      </c>
    </row>
    <row r="10" spans="1:5" ht="15" customHeight="1">
      <c r="A10" s="106" t="s">
        <v>19</v>
      </c>
      <c r="B10" s="105"/>
      <c r="C10" s="1"/>
      <c r="D10" s="1"/>
      <c r="E10" s="9"/>
    </row>
    <row r="11" spans="1:5" ht="30">
      <c r="A11" s="11">
        <f>1+A9</f>
        <v>7</v>
      </c>
      <c r="B11" s="12" t="s">
        <v>21</v>
      </c>
      <c r="C11" s="1" t="s">
        <v>12</v>
      </c>
      <c r="D11" s="1">
        <v>2.2999999999999998</v>
      </c>
      <c r="E11" s="9" t="s">
        <v>13</v>
      </c>
    </row>
    <row r="12" spans="1:5" ht="45">
      <c r="A12" s="11">
        <f t="shared" ref="A12:A14" si="2">1+A11</f>
        <v>8</v>
      </c>
      <c r="B12" s="12" t="s">
        <v>22</v>
      </c>
      <c r="C12" s="1" t="s">
        <v>16</v>
      </c>
      <c r="D12" s="14" t="s">
        <v>28</v>
      </c>
      <c r="E12" s="9" t="s">
        <v>13</v>
      </c>
    </row>
    <row r="13" spans="1:5" ht="30">
      <c r="A13" s="11">
        <f t="shared" si="2"/>
        <v>9</v>
      </c>
      <c r="B13" s="12" t="s">
        <v>23</v>
      </c>
      <c r="C13" s="1" t="s">
        <v>16</v>
      </c>
      <c r="D13" s="14" t="s">
        <v>28</v>
      </c>
      <c r="E13" s="9" t="s">
        <v>13</v>
      </c>
    </row>
    <row r="14" spans="1:5">
      <c r="A14" s="4">
        <f t="shared" si="2"/>
        <v>10</v>
      </c>
      <c r="B14" s="2" t="s">
        <v>24</v>
      </c>
      <c r="C14" s="1" t="s">
        <v>30</v>
      </c>
      <c r="D14" s="1">
        <v>4</v>
      </c>
      <c r="E14" s="9" t="s">
        <v>13</v>
      </c>
    </row>
    <row r="15" spans="1:5" ht="18.75">
      <c r="A15" s="5"/>
      <c r="B15" s="6" t="s">
        <v>25</v>
      </c>
      <c r="C15" s="7"/>
      <c r="D15" s="7"/>
      <c r="E15" s="8"/>
    </row>
    <row r="16" spans="1:5" ht="45">
      <c r="A16" s="4">
        <f>1+A14</f>
        <v>11</v>
      </c>
      <c r="B16" s="10" t="s">
        <v>26</v>
      </c>
      <c r="C16" s="1" t="s">
        <v>15</v>
      </c>
      <c r="D16" s="1">
        <v>4</v>
      </c>
      <c r="E16" s="9" t="s">
        <v>13</v>
      </c>
    </row>
    <row r="17" spans="1:5" ht="45">
      <c r="A17" s="4">
        <f t="shared" ref="A17:A25" si="3">1+A16</f>
        <v>12</v>
      </c>
      <c r="B17" s="13" t="s">
        <v>27</v>
      </c>
      <c r="C17" s="1" t="s">
        <v>15</v>
      </c>
      <c r="D17" s="1">
        <v>4</v>
      </c>
      <c r="E17" s="9" t="s">
        <v>13</v>
      </c>
    </row>
    <row r="18" spans="1:5">
      <c r="A18" s="4">
        <f t="shared" si="3"/>
        <v>13</v>
      </c>
      <c r="B18" s="13" t="s">
        <v>29</v>
      </c>
      <c r="C18" s="1" t="s">
        <v>34</v>
      </c>
      <c r="D18" s="1">
        <v>4</v>
      </c>
      <c r="E18" s="9" t="s">
        <v>13</v>
      </c>
    </row>
    <row r="19" spans="1:5">
      <c r="A19" s="4">
        <f t="shared" si="3"/>
        <v>14</v>
      </c>
      <c r="B19" s="15" t="s">
        <v>35</v>
      </c>
      <c r="C19" s="16" t="s">
        <v>36</v>
      </c>
      <c r="D19" s="16">
        <v>5</v>
      </c>
      <c r="E19" s="17" t="s">
        <v>13</v>
      </c>
    </row>
    <row r="20" spans="1:5">
      <c r="A20" s="4">
        <f t="shared" si="3"/>
        <v>15</v>
      </c>
      <c r="B20" s="15" t="s">
        <v>32</v>
      </c>
      <c r="C20" s="16" t="s">
        <v>36</v>
      </c>
      <c r="D20" s="16">
        <v>5</v>
      </c>
      <c r="E20" s="17" t="s">
        <v>13</v>
      </c>
    </row>
    <row r="21" spans="1:5">
      <c r="A21" s="4">
        <f t="shared" si="3"/>
        <v>16</v>
      </c>
      <c r="B21" s="13" t="s">
        <v>33</v>
      </c>
      <c r="C21" s="1" t="s">
        <v>12</v>
      </c>
      <c r="D21" s="1">
        <v>5</v>
      </c>
      <c r="E21" s="17" t="s">
        <v>13</v>
      </c>
    </row>
    <row r="22" spans="1:5">
      <c r="A22" s="4">
        <f t="shared" si="3"/>
        <v>17</v>
      </c>
      <c r="B22" s="13" t="s">
        <v>37</v>
      </c>
      <c r="C22" s="1" t="s">
        <v>12</v>
      </c>
      <c r="D22" s="1">
        <v>5</v>
      </c>
      <c r="E22" s="17" t="s">
        <v>13</v>
      </c>
    </row>
    <row r="23" spans="1:5" ht="15.75" customHeight="1">
      <c r="A23" s="4">
        <f t="shared" si="3"/>
        <v>18</v>
      </c>
      <c r="B23" s="13" t="s">
        <v>38</v>
      </c>
      <c r="C23" s="1" t="s">
        <v>12</v>
      </c>
      <c r="D23" s="1">
        <v>5</v>
      </c>
      <c r="E23" s="17" t="s">
        <v>13</v>
      </c>
    </row>
    <row r="24" spans="1:5" ht="15.75" customHeight="1">
      <c r="A24" s="4">
        <f t="shared" si="3"/>
        <v>19</v>
      </c>
      <c r="B24" s="21" t="s">
        <v>39</v>
      </c>
      <c r="C24" s="1" t="s">
        <v>12</v>
      </c>
      <c r="D24" s="1">
        <v>5</v>
      </c>
      <c r="E24" s="17" t="s">
        <v>13</v>
      </c>
    </row>
    <row r="25" spans="1:5" ht="15.75" customHeight="1">
      <c r="A25" s="4">
        <f t="shared" si="3"/>
        <v>20</v>
      </c>
      <c r="B25" s="13" t="s">
        <v>40</v>
      </c>
      <c r="C25" s="1" t="s">
        <v>34</v>
      </c>
      <c r="D25" s="1">
        <v>5</v>
      </c>
      <c r="E25" s="17" t="s">
        <v>13</v>
      </c>
    </row>
    <row r="26" spans="1:5" ht="15.75" customHeight="1">
      <c r="A26" s="4">
        <v>21</v>
      </c>
      <c r="B26" s="10" t="s">
        <v>41</v>
      </c>
      <c r="C26" s="1" t="s">
        <v>12</v>
      </c>
      <c r="D26" s="1">
        <v>6</v>
      </c>
      <c r="E26" s="120" t="s">
        <v>13</v>
      </c>
    </row>
    <row r="27" spans="1:5" ht="30">
      <c r="A27" s="20">
        <v>22</v>
      </c>
      <c r="B27" s="22" t="s">
        <v>42</v>
      </c>
      <c r="C27" s="23" t="s">
        <v>46</v>
      </c>
      <c r="D27" s="1"/>
      <c r="E27" s="120" t="s">
        <v>13</v>
      </c>
    </row>
    <row r="28" spans="1:5">
      <c r="A28" s="20">
        <v>23</v>
      </c>
      <c r="B28" s="22" t="s">
        <v>43</v>
      </c>
      <c r="C28" s="23" t="s">
        <v>50</v>
      </c>
      <c r="D28" s="1"/>
      <c r="E28" s="120" t="s">
        <v>13</v>
      </c>
    </row>
    <row r="29" spans="1:5" ht="30">
      <c r="A29" s="4">
        <f>1+A28</f>
        <v>24</v>
      </c>
      <c r="B29" s="10" t="s">
        <v>45</v>
      </c>
      <c r="C29" s="1" t="s">
        <v>12</v>
      </c>
      <c r="D29" s="1"/>
      <c r="E29" s="24" t="s">
        <v>55</v>
      </c>
    </row>
    <row r="30" spans="1:5" ht="30">
      <c r="A30" s="4">
        <f t="shared" ref="A30:A37" si="4">1+A29</f>
        <v>25</v>
      </c>
      <c r="B30" s="10" t="s">
        <v>47</v>
      </c>
      <c r="C30" s="1" t="s">
        <v>12</v>
      </c>
      <c r="D30" s="1"/>
      <c r="E30" s="24" t="s">
        <v>55</v>
      </c>
    </row>
    <row r="31" spans="1:5" ht="30">
      <c r="A31" s="4">
        <f t="shared" si="4"/>
        <v>26</v>
      </c>
      <c r="B31" s="10" t="s">
        <v>48</v>
      </c>
      <c r="C31" s="1" t="s">
        <v>16</v>
      </c>
      <c r="D31" s="1"/>
      <c r="E31" s="24" t="s">
        <v>55</v>
      </c>
    </row>
    <row r="32" spans="1:5">
      <c r="A32" s="4">
        <f t="shared" si="4"/>
        <v>27</v>
      </c>
      <c r="B32" s="2" t="s">
        <v>49</v>
      </c>
      <c r="C32" s="1" t="s">
        <v>34</v>
      </c>
      <c r="D32" s="4"/>
      <c r="E32" s="24" t="s">
        <v>55</v>
      </c>
    </row>
    <row r="33" spans="1:5" ht="30">
      <c r="A33" s="4">
        <f t="shared" si="4"/>
        <v>28</v>
      </c>
      <c r="B33" s="10" t="s">
        <v>51</v>
      </c>
      <c r="C33" s="1" t="s">
        <v>36</v>
      </c>
      <c r="D33" s="4"/>
      <c r="E33" s="24" t="s">
        <v>55</v>
      </c>
    </row>
    <row r="34" spans="1:5" ht="30">
      <c r="A34" s="4">
        <f t="shared" si="4"/>
        <v>29</v>
      </c>
      <c r="B34" s="10" t="s">
        <v>52</v>
      </c>
      <c r="C34" s="1" t="s">
        <v>12</v>
      </c>
      <c r="D34" s="4"/>
      <c r="E34" s="24" t="s">
        <v>55</v>
      </c>
    </row>
    <row r="35" spans="1:5" ht="30">
      <c r="A35" s="4">
        <f t="shared" si="4"/>
        <v>30</v>
      </c>
      <c r="B35" s="10" t="s">
        <v>53</v>
      </c>
      <c r="C35" s="1" t="s">
        <v>12</v>
      </c>
      <c r="D35" s="4"/>
      <c r="E35" s="24" t="s">
        <v>55</v>
      </c>
    </row>
    <row r="36" spans="1:5" ht="30">
      <c r="A36" s="4">
        <f t="shared" si="4"/>
        <v>31</v>
      </c>
      <c r="B36" s="10" t="s">
        <v>54</v>
      </c>
      <c r="C36" s="1" t="s">
        <v>16</v>
      </c>
      <c r="D36" s="4"/>
      <c r="E36" s="24" t="s">
        <v>55</v>
      </c>
    </row>
    <row r="37" spans="1:5" ht="30">
      <c r="A37" s="4">
        <f t="shared" si="4"/>
        <v>32</v>
      </c>
      <c r="B37" s="10" t="s">
        <v>56</v>
      </c>
      <c r="C37" s="1" t="s">
        <v>16</v>
      </c>
      <c r="D37" s="4"/>
      <c r="E37" s="24" t="s">
        <v>55</v>
      </c>
    </row>
    <row r="38" spans="1:5" ht="15.75" customHeight="1">
      <c r="B38" s="29"/>
      <c r="D38" s="18"/>
    </row>
    <row r="39" spans="1:5" ht="15.75" customHeight="1">
      <c r="B39" s="29" t="s">
        <v>66</v>
      </c>
      <c r="D39" s="18"/>
    </row>
    <row r="40" spans="1:5" ht="15.75" customHeight="1">
      <c r="B40" s="29"/>
      <c r="D40" s="18"/>
    </row>
    <row r="41" spans="1:5" ht="15.75" customHeight="1">
      <c r="B41" s="29"/>
      <c r="D41" s="18"/>
    </row>
    <row r="42" spans="1:5" ht="15.75" customHeight="1">
      <c r="B42" s="29"/>
      <c r="D42" s="18"/>
    </row>
    <row r="43" spans="1:5" ht="15.75" customHeight="1">
      <c r="B43" s="29"/>
      <c r="D43" s="18"/>
    </row>
    <row r="44" spans="1:5" ht="15.75" customHeight="1">
      <c r="B44" s="29"/>
      <c r="D44" s="18"/>
    </row>
    <row r="45" spans="1:5" ht="15.75" customHeight="1">
      <c r="B45" s="29"/>
      <c r="D45" s="18"/>
    </row>
    <row r="46" spans="1:5" ht="15.75" customHeight="1">
      <c r="B46" s="29"/>
      <c r="D46" s="18"/>
    </row>
    <row r="47" spans="1:5" ht="15.75" customHeight="1">
      <c r="B47" s="29"/>
      <c r="D47" s="18"/>
    </row>
    <row r="48" spans="1:5" ht="15.75" customHeight="1">
      <c r="B48" s="29"/>
      <c r="D48" s="18"/>
    </row>
    <row r="49" spans="2:4" ht="15.75" customHeight="1">
      <c r="B49" s="29"/>
      <c r="D49" s="18"/>
    </row>
    <row r="50" spans="2:4" ht="15.75" customHeight="1">
      <c r="B50" s="29"/>
      <c r="D50" s="18"/>
    </row>
    <row r="51" spans="2:4" ht="15.75" customHeight="1">
      <c r="B51" s="29"/>
      <c r="D51" s="18"/>
    </row>
    <row r="52" spans="2:4" ht="15.75" customHeight="1">
      <c r="B52" s="29"/>
      <c r="D52" s="18"/>
    </row>
    <row r="53" spans="2:4" ht="15.75" customHeight="1">
      <c r="B53" s="29"/>
      <c r="D53" s="18"/>
    </row>
    <row r="54" spans="2:4" ht="15.75" customHeight="1">
      <c r="B54" s="29"/>
      <c r="D54" s="18"/>
    </row>
    <row r="55" spans="2:4" ht="15.75" customHeight="1">
      <c r="B55" s="29"/>
      <c r="D55" s="18"/>
    </row>
    <row r="56" spans="2:4" ht="15.75" customHeight="1">
      <c r="B56" s="29"/>
      <c r="D56" s="18"/>
    </row>
    <row r="57" spans="2:4" ht="15.75" customHeight="1">
      <c r="B57" s="29"/>
      <c r="D57" s="18"/>
    </row>
    <row r="58" spans="2:4" ht="15.75" customHeight="1">
      <c r="B58" s="29"/>
      <c r="D58" s="18"/>
    </row>
    <row r="59" spans="2:4" ht="15.75" customHeight="1">
      <c r="B59" s="29"/>
      <c r="D59" s="18"/>
    </row>
    <row r="60" spans="2:4" ht="15.75" customHeight="1">
      <c r="B60" s="29"/>
      <c r="D60" s="18"/>
    </row>
    <row r="61" spans="2:4" ht="15.75" customHeight="1">
      <c r="B61" s="29"/>
      <c r="D61" s="18"/>
    </row>
    <row r="62" spans="2:4" ht="15.75" customHeight="1">
      <c r="B62" s="29"/>
      <c r="D62" s="18"/>
    </row>
    <row r="63" spans="2:4" ht="15.75" customHeight="1">
      <c r="B63" s="29"/>
      <c r="D63" s="18"/>
    </row>
    <row r="64" spans="2:4" ht="15.75" customHeight="1">
      <c r="B64" s="29"/>
      <c r="D64" s="18"/>
    </row>
    <row r="65" spans="2:4" ht="15.75" customHeight="1">
      <c r="B65" s="29"/>
      <c r="D65" s="18"/>
    </row>
    <row r="66" spans="2:4" ht="15.75" customHeight="1">
      <c r="B66" s="29"/>
      <c r="D66" s="18"/>
    </row>
    <row r="67" spans="2:4" ht="15.75" customHeight="1">
      <c r="B67" s="29"/>
      <c r="D67" s="18"/>
    </row>
    <row r="68" spans="2:4" ht="15.75" customHeight="1">
      <c r="B68" s="29"/>
      <c r="D68" s="18"/>
    </row>
    <row r="69" spans="2:4" ht="15.75" customHeight="1">
      <c r="B69" s="29"/>
      <c r="D69" s="18"/>
    </row>
    <row r="70" spans="2:4" ht="15.75" customHeight="1">
      <c r="B70" s="29"/>
      <c r="D70" s="18"/>
    </row>
    <row r="71" spans="2:4" ht="15.75" customHeight="1">
      <c r="B71" s="29"/>
      <c r="D71" s="18"/>
    </row>
    <row r="72" spans="2:4" ht="15.75" customHeight="1">
      <c r="B72" s="29"/>
      <c r="D72" s="18"/>
    </row>
    <row r="73" spans="2:4" ht="15.75" customHeight="1">
      <c r="B73" s="29"/>
      <c r="D73" s="18"/>
    </row>
    <row r="74" spans="2:4" ht="15.75" customHeight="1">
      <c r="B74" s="29"/>
      <c r="D74" s="18"/>
    </row>
    <row r="75" spans="2:4" ht="15.75" customHeight="1">
      <c r="B75" s="29"/>
      <c r="D75" s="18"/>
    </row>
    <row r="76" spans="2:4" ht="15.75" customHeight="1">
      <c r="B76" s="29"/>
      <c r="D76" s="18"/>
    </row>
    <row r="77" spans="2:4" ht="15.75" customHeight="1">
      <c r="B77" s="29"/>
      <c r="D77" s="18"/>
    </row>
    <row r="78" spans="2:4" ht="15.75" customHeight="1">
      <c r="B78" s="29"/>
      <c r="D78" s="18"/>
    </row>
    <row r="79" spans="2:4" ht="15.75" customHeight="1">
      <c r="B79" s="29"/>
      <c r="D79" s="18"/>
    </row>
    <row r="80" spans="2:4" ht="15.75" customHeight="1">
      <c r="B80" s="29"/>
      <c r="D80" s="18"/>
    </row>
    <row r="81" spans="2:4" ht="15.75" customHeight="1">
      <c r="B81" s="29"/>
      <c r="D81" s="18"/>
    </row>
    <row r="82" spans="2:4" ht="15.75" customHeight="1">
      <c r="B82" s="29"/>
      <c r="D82" s="18"/>
    </row>
    <row r="83" spans="2:4" ht="15.75" customHeight="1">
      <c r="B83" s="29"/>
      <c r="D83" s="18"/>
    </row>
    <row r="84" spans="2:4" ht="15.75" customHeight="1">
      <c r="B84" s="29"/>
      <c r="D84" s="18"/>
    </row>
    <row r="85" spans="2:4" ht="15.75" customHeight="1">
      <c r="B85" s="29"/>
      <c r="D85" s="18"/>
    </row>
    <row r="86" spans="2:4" ht="15.75" customHeight="1">
      <c r="B86" s="29"/>
      <c r="D86" s="18"/>
    </row>
    <row r="87" spans="2:4" ht="15.75" customHeight="1">
      <c r="B87" s="29"/>
      <c r="D87" s="18"/>
    </row>
    <row r="88" spans="2:4" ht="15.75" customHeight="1">
      <c r="B88" s="29"/>
      <c r="D88" s="18"/>
    </row>
    <row r="89" spans="2:4" ht="15.75" customHeight="1">
      <c r="B89" s="29"/>
      <c r="D89" s="18"/>
    </row>
    <row r="90" spans="2:4" ht="15.75" customHeight="1">
      <c r="B90" s="29"/>
      <c r="D90" s="18"/>
    </row>
    <row r="91" spans="2:4" ht="15.75" customHeight="1">
      <c r="B91" s="29"/>
      <c r="D91" s="18"/>
    </row>
    <row r="92" spans="2:4" ht="15.75" customHeight="1">
      <c r="B92" s="29"/>
      <c r="D92" s="18"/>
    </row>
    <row r="93" spans="2:4" ht="15.75" customHeight="1">
      <c r="B93" s="29"/>
      <c r="D93" s="18"/>
    </row>
    <row r="94" spans="2:4" ht="15.75" customHeight="1">
      <c r="B94" s="29"/>
      <c r="D94" s="18"/>
    </row>
    <row r="95" spans="2:4" ht="15.75" customHeight="1">
      <c r="B95" s="29"/>
      <c r="D95" s="18"/>
    </row>
    <row r="96" spans="2:4" ht="15.75" customHeight="1">
      <c r="B96" s="29"/>
      <c r="D96" s="18"/>
    </row>
    <row r="97" spans="2:4" ht="15.75" customHeight="1">
      <c r="B97" s="29"/>
      <c r="D97" s="18"/>
    </row>
    <row r="98" spans="2:4" ht="15.75" customHeight="1">
      <c r="B98" s="29"/>
      <c r="D98" s="18"/>
    </row>
    <row r="99" spans="2:4" ht="15.75" customHeight="1">
      <c r="B99" s="29"/>
      <c r="D99" s="18"/>
    </row>
    <row r="100" spans="2:4" ht="15.75" customHeight="1">
      <c r="B100" s="29"/>
      <c r="D100" s="18"/>
    </row>
    <row r="101" spans="2:4" ht="15.75" customHeight="1">
      <c r="B101" s="29"/>
      <c r="D101" s="18"/>
    </row>
    <row r="102" spans="2:4" ht="15.75" customHeight="1">
      <c r="B102" s="29"/>
      <c r="D102" s="18"/>
    </row>
    <row r="103" spans="2:4" ht="15.75" customHeight="1">
      <c r="B103" s="29"/>
      <c r="D103" s="18"/>
    </row>
    <row r="104" spans="2:4" ht="15.75" customHeight="1">
      <c r="B104" s="29"/>
      <c r="D104" s="18"/>
    </row>
    <row r="105" spans="2:4" ht="15.75" customHeight="1">
      <c r="B105" s="29"/>
      <c r="D105" s="18"/>
    </row>
    <row r="106" spans="2:4" ht="15.75" customHeight="1">
      <c r="B106" s="29"/>
      <c r="D106" s="18"/>
    </row>
    <row r="107" spans="2:4" ht="15.75" customHeight="1">
      <c r="B107" s="29"/>
      <c r="D107" s="18"/>
    </row>
    <row r="108" spans="2:4" ht="15.75" customHeight="1">
      <c r="B108" s="29"/>
      <c r="D108" s="18"/>
    </row>
    <row r="109" spans="2:4" ht="15.75" customHeight="1">
      <c r="B109" s="29"/>
      <c r="D109" s="18"/>
    </row>
    <row r="110" spans="2:4" ht="15.75" customHeight="1">
      <c r="B110" s="29"/>
      <c r="D110" s="18"/>
    </row>
    <row r="111" spans="2:4" ht="15.75" customHeight="1">
      <c r="B111" s="29"/>
      <c r="D111" s="18"/>
    </row>
    <row r="112" spans="2:4" ht="15.75" customHeight="1">
      <c r="B112" s="29"/>
      <c r="D112" s="18"/>
    </row>
    <row r="113" spans="2:4" ht="15.75" customHeight="1">
      <c r="B113" s="29"/>
      <c r="D113" s="18"/>
    </row>
    <row r="114" spans="2:4" ht="15.75" customHeight="1">
      <c r="B114" s="29"/>
      <c r="D114" s="18"/>
    </row>
    <row r="115" spans="2:4" ht="15.75" customHeight="1">
      <c r="B115" s="29"/>
      <c r="D115" s="18"/>
    </row>
    <row r="116" spans="2:4" ht="15.75" customHeight="1">
      <c r="B116" s="29"/>
      <c r="D116" s="18"/>
    </row>
    <row r="117" spans="2:4" ht="15.75" customHeight="1">
      <c r="B117" s="29"/>
      <c r="D117" s="18"/>
    </row>
    <row r="118" spans="2:4" ht="15.75" customHeight="1">
      <c r="B118" s="29"/>
      <c r="D118" s="18"/>
    </row>
    <row r="119" spans="2:4" ht="15.75" customHeight="1">
      <c r="B119" s="29"/>
      <c r="D119" s="18"/>
    </row>
    <row r="120" spans="2:4" ht="15.75" customHeight="1">
      <c r="B120" s="29"/>
      <c r="D120" s="18"/>
    </row>
    <row r="121" spans="2:4" ht="15.75" customHeight="1">
      <c r="B121" s="29"/>
      <c r="D121" s="18"/>
    </row>
    <row r="122" spans="2:4" ht="15.75" customHeight="1">
      <c r="B122" s="29"/>
      <c r="D122" s="18"/>
    </row>
    <row r="123" spans="2:4" ht="15.75" customHeight="1">
      <c r="B123" s="29"/>
      <c r="D123" s="18"/>
    </row>
    <row r="124" spans="2:4" ht="15.75" customHeight="1">
      <c r="B124" s="29"/>
      <c r="D124" s="18"/>
    </row>
    <row r="125" spans="2:4" ht="15.75" customHeight="1">
      <c r="B125" s="29"/>
      <c r="D125" s="18"/>
    </row>
    <row r="126" spans="2:4" ht="15.75" customHeight="1">
      <c r="B126" s="29"/>
      <c r="D126" s="18"/>
    </row>
    <row r="127" spans="2:4" ht="15.75" customHeight="1">
      <c r="B127" s="29"/>
      <c r="D127" s="18"/>
    </row>
    <row r="128" spans="2:4" ht="15.75" customHeight="1">
      <c r="B128" s="29"/>
      <c r="D128" s="18"/>
    </row>
    <row r="129" spans="2:4" ht="15.75" customHeight="1">
      <c r="B129" s="29"/>
      <c r="D129" s="18"/>
    </row>
    <row r="130" spans="2:4" ht="15.75" customHeight="1">
      <c r="B130" s="29"/>
      <c r="D130" s="18"/>
    </row>
    <row r="131" spans="2:4" ht="15.75" customHeight="1">
      <c r="B131" s="29"/>
      <c r="D131" s="18"/>
    </row>
    <row r="132" spans="2:4" ht="15.75" customHeight="1">
      <c r="B132" s="29"/>
      <c r="D132" s="18"/>
    </row>
    <row r="133" spans="2:4" ht="15.75" customHeight="1">
      <c r="B133" s="29"/>
      <c r="D133" s="18"/>
    </row>
    <row r="134" spans="2:4" ht="15.75" customHeight="1">
      <c r="B134" s="29"/>
      <c r="D134" s="18"/>
    </row>
    <row r="135" spans="2:4" ht="15.75" customHeight="1">
      <c r="B135" s="29"/>
      <c r="D135" s="18"/>
    </row>
    <row r="136" spans="2:4" ht="15.75" customHeight="1">
      <c r="B136" s="29"/>
      <c r="D136" s="18"/>
    </row>
    <row r="137" spans="2:4" ht="15.75" customHeight="1">
      <c r="B137" s="29"/>
      <c r="D137" s="18"/>
    </row>
    <row r="138" spans="2:4" ht="15.75" customHeight="1">
      <c r="B138" s="29"/>
      <c r="D138" s="18"/>
    </row>
    <row r="139" spans="2:4" ht="15.75" customHeight="1">
      <c r="B139" s="29"/>
      <c r="D139" s="18"/>
    </row>
    <row r="140" spans="2:4" ht="15.75" customHeight="1">
      <c r="B140" s="29"/>
      <c r="D140" s="18"/>
    </row>
    <row r="141" spans="2:4" ht="15.75" customHeight="1">
      <c r="B141" s="29"/>
      <c r="D141" s="18"/>
    </row>
    <row r="142" spans="2:4" ht="15.75" customHeight="1">
      <c r="B142" s="29"/>
      <c r="D142" s="18"/>
    </row>
    <row r="143" spans="2:4" ht="15.75" customHeight="1">
      <c r="B143" s="29"/>
      <c r="D143" s="18"/>
    </row>
    <row r="144" spans="2:4" ht="15.75" customHeight="1">
      <c r="B144" s="29"/>
      <c r="D144" s="18"/>
    </row>
    <row r="145" spans="2:4" ht="15.75" customHeight="1">
      <c r="B145" s="29"/>
      <c r="D145" s="18"/>
    </row>
    <row r="146" spans="2:4" ht="15.75" customHeight="1">
      <c r="B146" s="29"/>
      <c r="D146" s="18"/>
    </row>
    <row r="147" spans="2:4" ht="15.75" customHeight="1">
      <c r="B147" s="29"/>
      <c r="D147" s="18"/>
    </row>
    <row r="148" spans="2:4" ht="15.75" customHeight="1">
      <c r="B148" s="29"/>
      <c r="D148" s="18"/>
    </row>
    <row r="149" spans="2:4" ht="15.75" customHeight="1">
      <c r="B149" s="29"/>
      <c r="D149" s="18"/>
    </row>
    <row r="150" spans="2:4" ht="15.75" customHeight="1">
      <c r="B150" s="29"/>
      <c r="D150" s="18"/>
    </row>
    <row r="151" spans="2:4" ht="15.75" customHeight="1">
      <c r="B151" s="29"/>
      <c r="D151" s="18"/>
    </row>
    <row r="152" spans="2:4" ht="15.75" customHeight="1">
      <c r="B152" s="29"/>
      <c r="D152" s="18"/>
    </row>
    <row r="153" spans="2:4" ht="15.75" customHeight="1">
      <c r="B153" s="29"/>
      <c r="D153" s="18"/>
    </row>
    <row r="154" spans="2:4" ht="15.75" customHeight="1">
      <c r="B154" s="29"/>
      <c r="D154" s="18"/>
    </row>
    <row r="155" spans="2:4" ht="15.75" customHeight="1">
      <c r="B155" s="29"/>
      <c r="D155" s="18"/>
    </row>
    <row r="156" spans="2:4" ht="15.75" customHeight="1">
      <c r="B156" s="29"/>
      <c r="D156" s="18"/>
    </row>
    <row r="157" spans="2:4" ht="15.75" customHeight="1">
      <c r="B157" s="29"/>
      <c r="D157" s="18"/>
    </row>
    <row r="158" spans="2:4" ht="15.75" customHeight="1">
      <c r="B158" s="29"/>
      <c r="D158" s="18"/>
    </row>
    <row r="159" spans="2:4" ht="15.75" customHeight="1">
      <c r="B159" s="29"/>
      <c r="D159" s="18"/>
    </row>
    <row r="160" spans="2:4" ht="15.75" customHeight="1">
      <c r="B160" s="29"/>
      <c r="D160" s="18"/>
    </row>
    <row r="161" spans="2:4" ht="15.75" customHeight="1">
      <c r="B161" s="29"/>
      <c r="D161" s="18"/>
    </row>
    <row r="162" spans="2:4" ht="15.75" customHeight="1">
      <c r="B162" s="29"/>
      <c r="D162" s="18"/>
    </row>
    <row r="163" spans="2:4" ht="15.75" customHeight="1">
      <c r="B163" s="29"/>
      <c r="D163" s="18"/>
    </row>
    <row r="164" spans="2:4" ht="15.75" customHeight="1">
      <c r="B164" s="29"/>
      <c r="D164" s="18"/>
    </row>
    <row r="165" spans="2:4" ht="15.75" customHeight="1">
      <c r="B165" s="29"/>
      <c r="D165" s="18"/>
    </row>
    <row r="166" spans="2:4" ht="15.75" customHeight="1">
      <c r="B166" s="29"/>
      <c r="D166" s="18"/>
    </row>
    <row r="167" spans="2:4" ht="15.75" customHeight="1">
      <c r="B167" s="29"/>
      <c r="D167" s="18"/>
    </row>
    <row r="168" spans="2:4" ht="15.75" customHeight="1">
      <c r="B168" s="29"/>
      <c r="D168" s="18"/>
    </row>
    <row r="169" spans="2:4" ht="15.75" customHeight="1">
      <c r="B169" s="29"/>
      <c r="D169" s="18"/>
    </row>
    <row r="170" spans="2:4" ht="15.75" customHeight="1">
      <c r="B170" s="29"/>
      <c r="D170" s="18"/>
    </row>
    <row r="171" spans="2:4" ht="15.75" customHeight="1">
      <c r="B171" s="29"/>
      <c r="D171" s="18"/>
    </row>
    <row r="172" spans="2:4" ht="15.75" customHeight="1">
      <c r="B172" s="29"/>
      <c r="D172" s="18"/>
    </row>
    <row r="173" spans="2:4" ht="15.75" customHeight="1">
      <c r="B173" s="29"/>
      <c r="D173" s="18"/>
    </row>
    <row r="174" spans="2:4" ht="15.75" customHeight="1">
      <c r="B174" s="29"/>
      <c r="D174" s="18"/>
    </row>
    <row r="175" spans="2:4" ht="15.75" customHeight="1">
      <c r="B175" s="29"/>
      <c r="D175" s="18"/>
    </row>
    <row r="176" spans="2:4" ht="15.75" customHeight="1">
      <c r="B176" s="29"/>
      <c r="D176" s="18"/>
    </row>
    <row r="177" spans="2:4" ht="15.75" customHeight="1">
      <c r="B177" s="29"/>
      <c r="D177" s="18"/>
    </row>
    <row r="178" spans="2:4" ht="15.75" customHeight="1">
      <c r="B178" s="29"/>
      <c r="D178" s="18"/>
    </row>
    <row r="179" spans="2:4" ht="15.75" customHeight="1">
      <c r="B179" s="29"/>
      <c r="D179" s="18"/>
    </row>
    <row r="180" spans="2:4" ht="15.75" customHeight="1">
      <c r="B180" s="29"/>
      <c r="D180" s="18"/>
    </row>
    <row r="181" spans="2:4" ht="15.75" customHeight="1">
      <c r="B181" s="29"/>
      <c r="D181" s="18"/>
    </row>
    <row r="182" spans="2:4" ht="15.75" customHeight="1">
      <c r="B182" s="29"/>
      <c r="D182" s="18"/>
    </row>
    <row r="183" spans="2:4" ht="15.75" customHeight="1">
      <c r="B183" s="29"/>
      <c r="D183" s="18"/>
    </row>
    <row r="184" spans="2:4" ht="15.75" customHeight="1">
      <c r="B184" s="29"/>
      <c r="D184" s="18"/>
    </row>
    <row r="185" spans="2:4" ht="15.75" customHeight="1">
      <c r="B185" s="29"/>
      <c r="D185" s="18"/>
    </row>
    <row r="186" spans="2:4" ht="15.75" customHeight="1">
      <c r="B186" s="29"/>
      <c r="D186" s="18"/>
    </row>
    <row r="187" spans="2:4" ht="15.75" customHeight="1">
      <c r="B187" s="29"/>
      <c r="D187" s="18"/>
    </row>
    <row r="188" spans="2:4" ht="15.75" customHeight="1">
      <c r="B188" s="29"/>
      <c r="D188" s="18"/>
    </row>
    <row r="189" spans="2:4" ht="15.75" customHeight="1">
      <c r="B189" s="29"/>
      <c r="D189" s="18"/>
    </row>
    <row r="190" spans="2:4" ht="15.75" customHeight="1">
      <c r="B190" s="29"/>
      <c r="D190" s="18"/>
    </row>
    <row r="191" spans="2:4" ht="15.75" customHeight="1">
      <c r="B191" s="29"/>
      <c r="D191" s="18"/>
    </row>
    <row r="192" spans="2:4" ht="15.75" customHeight="1">
      <c r="B192" s="29"/>
      <c r="D192" s="18"/>
    </row>
    <row r="193" spans="2:4" ht="15.75" customHeight="1">
      <c r="B193" s="29"/>
      <c r="D193" s="18"/>
    </row>
    <row r="194" spans="2:4" ht="15.75" customHeight="1">
      <c r="B194" s="29"/>
      <c r="D194" s="18"/>
    </row>
    <row r="195" spans="2:4" ht="15.75" customHeight="1">
      <c r="B195" s="29"/>
      <c r="D195" s="18"/>
    </row>
    <row r="196" spans="2:4" ht="15.75" customHeight="1">
      <c r="B196" s="29"/>
      <c r="D196" s="18"/>
    </row>
    <row r="197" spans="2:4" ht="15.75" customHeight="1">
      <c r="B197" s="29"/>
      <c r="D197" s="18"/>
    </row>
    <row r="198" spans="2:4" ht="15.75" customHeight="1">
      <c r="B198" s="29"/>
      <c r="D198" s="18"/>
    </row>
    <row r="199" spans="2:4" ht="15.75" customHeight="1">
      <c r="B199" s="29"/>
      <c r="D199" s="18"/>
    </row>
    <row r="200" spans="2:4" ht="15.75" customHeight="1">
      <c r="B200" s="29"/>
      <c r="D200" s="18"/>
    </row>
    <row r="201" spans="2:4" ht="15.75" customHeight="1">
      <c r="B201" s="29"/>
      <c r="D201" s="18"/>
    </row>
    <row r="202" spans="2:4" ht="15.75" customHeight="1">
      <c r="B202" s="29"/>
      <c r="D202" s="18"/>
    </row>
    <row r="203" spans="2:4" ht="15.75" customHeight="1">
      <c r="B203" s="29"/>
      <c r="D203" s="18"/>
    </row>
    <row r="204" spans="2:4" ht="15.75" customHeight="1">
      <c r="B204" s="29"/>
      <c r="D204" s="18"/>
    </row>
    <row r="205" spans="2:4" ht="15.75" customHeight="1">
      <c r="B205" s="29"/>
      <c r="D205" s="18"/>
    </row>
    <row r="206" spans="2:4" ht="15.75" customHeight="1">
      <c r="B206" s="29"/>
      <c r="D206" s="18"/>
    </row>
    <row r="207" spans="2:4" ht="15.75" customHeight="1">
      <c r="B207" s="29"/>
      <c r="D207" s="18"/>
    </row>
    <row r="208" spans="2:4" ht="15.75" customHeight="1">
      <c r="B208" s="29"/>
      <c r="D208" s="18"/>
    </row>
    <row r="209" spans="2:4" ht="15.75" customHeight="1">
      <c r="B209" s="29"/>
      <c r="D209" s="18"/>
    </row>
    <row r="210" spans="2:4" ht="15.75" customHeight="1">
      <c r="B210" s="29"/>
      <c r="D210" s="18"/>
    </row>
    <row r="211" spans="2:4" ht="15.75" customHeight="1">
      <c r="B211" s="29"/>
      <c r="D211" s="18"/>
    </row>
    <row r="212" spans="2:4" ht="15.75" customHeight="1">
      <c r="B212" s="29"/>
      <c r="D212" s="18"/>
    </row>
    <row r="213" spans="2:4" ht="15.75" customHeight="1">
      <c r="B213" s="29"/>
      <c r="D213" s="18"/>
    </row>
    <row r="214" spans="2:4" ht="15.75" customHeight="1">
      <c r="B214" s="29"/>
      <c r="D214" s="18"/>
    </row>
    <row r="215" spans="2:4" ht="15.75" customHeight="1">
      <c r="B215" s="29"/>
      <c r="D215" s="18"/>
    </row>
    <row r="216" spans="2:4" ht="15.75" customHeight="1">
      <c r="B216" s="29"/>
      <c r="D216" s="18"/>
    </row>
    <row r="217" spans="2:4" ht="15.75" customHeight="1">
      <c r="B217" s="29"/>
      <c r="D217" s="18"/>
    </row>
    <row r="218" spans="2:4" ht="15.75" customHeight="1">
      <c r="B218" s="29"/>
      <c r="D218" s="18"/>
    </row>
    <row r="219" spans="2:4" ht="15.75" customHeight="1">
      <c r="B219" s="29"/>
      <c r="D219" s="18"/>
    </row>
    <row r="220" spans="2:4" ht="15.75" customHeight="1">
      <c r="B220" s="29"/>
      <c r="D220" s="18"/>
    </row>
    <row r="221" spans="2:4" ht="15.75" customHeight="1">
      <c r="B221" s="29"/>
      <c r="D221" s="18"/>
    </row>
    <row r="222" spans="2:4" ht="15.75" customHeight="1">
      <c r="B222" s="29"/>
      <c r="D222" s="18"/>
    </row>
    <row r="223" spans="2:4" ht="15.75" customHeight="1">
      <c r="B223" s="29"/>
      <c r="D223" s="18"/>
    </row>
    <row r="224" spans="2:4" ht="15.75" customHeight="1">
      <c r="B224" s="29"/>
      <c r="D224" s="18"/>
    </row>
    <row r="225" spans="2:4" ht="15.75" customHeight="1">
      <c r="B225" s="29"/>
      <c r="D225" s="18"/>
    </row>
    <row r="226" spans="2:4" ht="15.75" customHeight="1">
      <c r="B226" s="29"/>
      <c r="D226" s="18"/>
    </row>
    <row r="227" spans="2:4" ht="15.75" customHeight="1">
      <c r="B227" s="29"/>
      <c r="D227" s="18"/>
    </row>
    <row r="228" spans="2:4" ht="15.75" customHeight="1">
      <c r="B228" s="29"/>
      <c r="D228" s="18"/>
    </row>
    <row r="229" spans="2:4" ht="15.75" customHeight="1">
      <c r="B229" s="29"/>
      <c r="D229" s="18"/>
    </row>
    <row r="230" spans="2:4" ht="15.75" customHeight="1">
      <c r="B230" s="29"/>
      <c r="D230" s="18"/>
    </row>
    <row r="231" spans="2:4" ht="15.75" customHeight="1">
      <c r="B231" s="29"/>
      <c r="D231" s="18"/>
    </row>
    <row r="232" spans="2:4" ht="15.75" customHeight="1">
      <c r="B232" s="29"/>
      <c r="D232" s="18"/>
    </row>
    <row r="233" spans="2:4" ht="15.75" customHeight="1">
      <c r="B233" s="29"/>
      <c r="D233" s="18"/>
    </row>
    <row r="234" spans="2:4" ht="15.75" customHeight="1">
      <c r="B234" s="29"/>
      <c r="D234" s="18"/>
    </row>
    <row r="235" spans="2:4" ht="15.75" customHeight="1">
      <c r="B235" s="29"/>
      <c r="D235" s="18"/>
    </row>
    <row r="236" spans="2:4" ht="15.75" customHeight="1">
      <c r="B236" s="29"/>
      <c r="D236" s="18"/>
    </row>
    <row r="237" spans="2:4" ht="15.75" customHeight="1">
      <c r="B237" s="29"/>
      <c r="D237" s="18"/>
    </row>
    <row r="238" spans="2:4" ht="15.75" customHeight="1">
      <c r="B238" s="29"/>
      <c r="D238" s="18"/>
    </row>
    <row r="239" spans="2:4" ht="15.75" customHeight="1">
      <c r="B239" s="29"/>
      <c r="D239" s="18"/>
    </row>
    <row r="240" spans="2:4" ht="15.75" customHeight="1">
      <c r="B240" s="29"/>
      <c r="D240" s="18"/>
    </row>
    <row r="241" spans="2:4" ht="15.75" customHeight="1">
      <c r="B241" s="29"/>
      <c r="D241" s="18"/>
    </row>
    <row r="242" spans="2:4" ht="15.75" customHeight="1">
      <c r="B242" s="29"/>
      <c r="D242" s="18"/>
    </row>
    <row r="243" spans="2:4" ht="15.75" customHeight="1">
      <c r="B243" s="29"/>
      <c r="D243" s="18"/>
    </row>
    <row r="244" spans="2:4" ht="15.75" customHeight="1">
      <c r="B244" s="29"/>
      <c r="D244" s="18"/>
    </row>
    <row r="245" spans="2:4" ht="15.75" customHeight="1">
      <c r="B245" s="29"/>
      <c r="D245" s="18"/>
    </row>
    <row r="246" spans="2:4" ht="15.75" customHeight="1">
      <c r="B246" s="29"/>
      <c r="D246" s="18"/>
    </row>
    <row r="247" spans="2:4" ht="15.75" customHeight="1">
      <c r="B247" s="29"/>
      <c r="D247" s="18"/>
    </row>
    <row r="248" spans="2:4" ht="15.75" customHeight="1">
      <c r="B248" s="29"/>
      <c r="D248" s="18"/>
    </row>
    <row r="249" spans="2:4" ht="15.75" customHeight="1">
      <c r="B249" s="29"/>
      <c r="D249" s="18"/>
    </row>
    <row r="250" spans="2:4" ht="15.75" customHeight="1">
      <c r="B250" s="29"/>
      <c r="D250" s="18"/>
    </row>
    <row r="251" spans="2:4" ht="15.75" customHeight="1">
      <c r="B251" s="29"/>
      <c r="D251" s="18"/>
    </row>
    <row r="252" spans="2:4" ht="15.75" customHeight="1">
      <c r="B252" s="29"/>
      <c r="D252" s="18"/>
    </row>
    <row r="253" spans="2:4" ht="15.75" customHeight="1">
      <c r="B253" s="29"/>
      <c r="D253" s="18"/>
    </row>
    <row r="254" spans="2:4" ht="15.75" customHeight="1">
      <c r="B254" s="29"/>
      <c r="D254" s="18"/>
    </row>
    <row r="255" spans="2:4" ht="15.75" customHeight="1">
      <c r="B255" s="29"/>
      <c r="D255" s="18"/>
    </row>
    <row r="256" spans="2:4" ht="15.75" customHeight="1">
      <c r="B256" s="29"/>
      <c r="D256" s="18"/>
    </row>
    <row r="257" spans="2:4" ht="15.75" customHeight="1">
      <c r="B257" s="29"/>
      <c r="D257" s="18"/>
    </row>
    <row r="258" spans="2:4" ht="15.75" customHeight="1">
      <c r="B258" s="29"/>
      <c r="D258" s="18"/>
    </row>
    <row r="259" spans="2:4" ht="15.75" customHeight="1">
      <c r="B259" s="29"/>
      <c r="D259" s="18"/>
    </row>
    <row r="260" spans="2:4" ht="15.75" customHeight="1">
      <c r="B260" s="29"/>
      <c r="D260" s="18"/>
    </row>
    <row r="261" spans="2:4" ht="15.75" customHeight="1">
      <c r="B261" s="29"/>
      <c r="D261" s="18"/>
    </row>
    <row r="262" spans="2:4" ht="15.75" customHeight="1">
      <c r="B262" s="29"/>
      <c r="D262" s="18"/>
    </row>
    <row r="263" spans="2:4" ht="15.75" customHeight="1">
      <c r="B263" s="29"/>
      <c r="D263" s="18"/>
    </row>
    <row r="264" spans="2:4" ht="15.75" customHeight="1">
      <c r="B264" s="29"/>
      <c r="D264" s="18"/>
    </row>
    <row r="265" spans="2:4" ht="15.75" customHeight="1">
      <c r="B265" s="29"/>
      <c r="D265" s="18"/>
    </row>
    <row r="266" spans="2:4" ht="15.75" customHeight="1">
      <c r="B266" s="29"/>
      <c r="D266" s="18"/>
    </row>
    <row r="267" spans="2:4" ht="15.75" customHeight="1">
      <c r="B267" s="29"/>
      <c r="D267" s="18"/>
    </row>
    <row r="268" spans="2:4" ht="15.75" customHeight="1">
      <c r="B268" s="29"/>
      <c r="D268" s="18"/>
    </row>
    <row r="269" spans="2:4" ht="15.75" customHeight="1">
      <c r="B269" s="29"/>
      <c r="D269" s="18"/>
    </row>
    <row r="270" spans="2:4" ht="15.75" customHeight="1">
      <c r="B270" s="29"/>
      <c r="D270" s="18"/>
    </row>
    <row r="271" spans="2:4" ht="15.75" customHeight="1">
      <c r="B271" s="29"/>
      <c r="D271" s="18"/>
    </row>
    <row r="272" spans="2:4" ht="15.75" customHeight="1">
      <c r="B272" s="29"/>
      <c r="D272" s="18"/>
    </row>
    <row r="273" spans="2:4" ht="15.75" customHeight="1">
      <c r="B273" s="29"/>
      <c r="D273" s="18"/>
    </row>
    <row r="274" spans="2:4" ht="15.75" customHeight="1">
      <c r="B274" s="29"/>
      <c r="D274" s="18"/>
    </row>
    <row r="275" spans="2:4" ht="15.75" customHeight="1">
      <c r="B275" s="29"/>
      <c r="D275" s="18"/>
    </row>
    <row r="276" spans="2:4" ht="15.75" customHeight="1">
      <c r="B276" s="29"/>
      <c r="D276" s="18"/>
    </row>
    <row r="277" spans="2:4" ht="15.75" customHeight="1">
      <c r="B277" s="29"/>
      <c r="D277" s="18"/>
    </row>
    <row r="278" spans="2:4" ht="15.75" customHeight="1">
      <c r="B278" s="29"/>
      <c r="D278" s="18"/>
    </row>
    <row r="279" spans="2:4" ht="15.75" customHeight="1">
      <c r="B279" s="29"/>
      <c r="D279" s="18"/>
    </row>
    <row r="280" spans="2:4" ht="15.75" customHeight="1">
      <c r="B280" s="29"/>
      <c r="D280" s="18"/>
    </row>
    <row r="281" spans="2:4" ht="15.75" customHeight="1">
      <c r="B281" s="29"/>
      <c r="D281" s="18"/>
    </row>
    <row r="282" spans="2:4" ht="15.75" customHeight="1">
      <c r="B282" s="29"/>
      <c r="D282" s="18"/>
    </row>
    <row r="283" spans="2:4" ht="15.75" customHeight="1">
      <c r="B283" s="29"/>
      <c r="D283" s="18"/>
    </row>
    <row r="284" spans="2:4" ht="15.75" customHeight="1">
      <c r="B284" s="29"/>
      <c r="D284" s="18"/>
    </row>
    <row r="285" spans="2:4" ht="15.75" customHeight="1">
      <c r="B285" s="29"/>
      <c r="D285" s="18"/>
    </row>
    <row r="286" spans="2:4" ht="15.75" customHeight="1">
      <c r="B286" s="29"/>
      <c r="D286" s="18"/>
    </row>
    <row r="287" spans="2:4" ht="15.75" customHeight="1">
      <c r="B287" s="29"/>
      <c r="D287" s="18"/>
    </row>
    <row r="288" spans="2:4" ht="15.75" customHeight="1">
      <c r="B288" s="29"/>
      <c r="D288" s="18"/>
    </row>
    <row r="289" spans="2:4" ht="15.75" customHeight="1">
      <c r="B289" s="29"/>
      <c r="D289" s="18"/>
    </row>
    <row r="290" spans="2:4" ht="15.75" customHeight="1">
      <c r="B290" s="29"/>
      <c r="D290" s="18"/>
    </row>
    <row r="291" spans="2:4" ht="15.75" customHeight="1">
      <c r="B291" s="29"/>
      <c r="D291" s="18"/>
    </row>
    <row r="292" spans="2:4" ht="15.75" customHeight="1">
      <c r="B292" s="29"/>
      <c r="D292" s="18"/>
    </row>
    <row r="293" spans="2:4" ht="15.75" customHeight="1">
      <c r="B293" s="29"/>
      <c r="D293" s="18"/>
    </row>
    <row r="294" spans="2:4" ht="15.75" customHeight="1">
      <c r="B294" s="29"/>
      <c r="D294" s="18"/>
    </row>
    <row r="295" spans="2:4" ht="15.75" customHeight="1">
      <c r="B295" s="29"/>
      <c r="D295" s="18"/>
    </row>
    <row r="296" spans="2:4" ht="15.75" customHeight="1">
      <c r="B296" s="29"/>
      <c r="D296" s="18"/>
    </row>
    <row r="297" spans="2:4" ht="15.75" customHeight="1">
      <c r="B297" s="29"/>
      <c r="D297" s="18"/>
    </row>
    <row r="298" spans="2:4" ht="15.75" customHeight="1">
      <c r="B298" s="29"/>
      <c r="D298" s="18"/>
    </row>
    <row r="299" spans="2:4" ht="15.75" customHeight="1">
      <c r="B299" s="29"/>
      <c r="D299" s="18"/>
    </row>
    <row r="300" spans="2:4" ht="15.75" customHeight="1">
      <c r="B300" s="29"/>
      <c r="D300" s="18"/>
    </row>
    <row r="301" spans="2:4" ht="15.75" customHeight="1">
      <c r="B301" s="29"/>
      <c r="D301" s="18"/>
    </row>
    <row r="302" spans="2:4" ht="15.75" customHeight="1">
      <c r="B302" s="29"/>
      <c r="D302" s="18"/>
    </row>
    <row r="303" spans="2:4" ht="15.75" customHeight="1">
      <c r="B303" s="29"/>
      <c r="D303" s="18"/>
    </row>
    <row r="304" spans="2:4" ht="15.75" customHeight="1">
      <c r="B304" s="29"/>
      <c r="D304" s="18"/>
    </row>
    <row r="305" spans="2:4" ht="15.75" customHeight="1">
      <c r="B305" s="29"/>
      <c r="D305" s="18"/>
    </row>
    <row r="306" spans="2:4" ht="15.75" customHeight="1">
      <c r="B306" s="29"/>
      <c r="D306" s="18"/>
    </row>
    <row r="307" spans="2:4" ht="15.75" customHeight="1">
      <c r="B307" s="29"/>
      <c r="D307" s="18"/>
    </row>
    <row r="308" spans="2:4" ht="15.75" customHeight="1">
      <c r="B308" s="29"/>
      <c r="D308" s="18"/>
    </row>
    <row r="309" spans="2:4" ht="15.75" customHeight="1">
      <c r="B309" s="29"/>
      <c r="D309" s="18"/>
    </row>
    <row r="310" spans="2:4" ht="15.75" customHeight="1">
      <c r="B310" s="29"/>
      <c r="D310" s="18"/>
    </row>
    <row r="311" spans="2:4" ht="15.75" customHeight="1">
      <c r="B311" s="29"/>
      <c r="D311" s="18"/>
    </row>
    <row r="312" spans="2:4" ht="15.75" customHeight="1">
      <c r="B312" s="29"/>
      <c r="D312" s="18"/>
    </row>
    <row r="313" spans="2:4" ht="15.75" customHeight="1">
      <c r="B313" s="29"/>
      <c r="D313" s="18"/>
    </row>
    <row r="314" spans="2:4" ht="15.75" customHeight="1">
      <c r="B314" s="29"/>
      <c r="D314" s="18"/>
    </row>
    <row r="315" spans="2:4" ht="15.75" customHeight="1">
      <c r="B315" s="29"/>
      <c r="D315" s="18"/>
    </row>
    <row r="316" spans="2:4" ht="15.75" customHeight="1">
      <c r="B316" s="29"/>
      <c r="D316" s="18"/>
    </row>
    <row r="317" spans="2:4" ht="15.75" customHeight="1">
      <c r="B317" s="29"/>
      <c r="D317" s="18"/>
    </row>
    <row r="318" spans="2:4" ht="15.75" customHeight="1">
      <c r="B318" s="29"/>
      <c r="D318" s="18"/>
    </row>
    <row r="319" spans="2:4" ht="15.75" customHeight="1">
      <c r="B319" s="29"/>
      <c r="D319" s="18"/>
    </row>
    <row r="320" spans="2:4" ht="15.75" customHeight="1">
      <c r="B320" s="29"/>
      <c r="D320" s="18"/>
    </row>
    <row r="321" spans="2:4" ht="15.75" customHeight="1">
      <c r="B321" s="29"/>
      <c r="D321" s="18"/>
    </row>
    <row r="322" spans="2:4" ht="15.75" customHeight="1">
      <c r="B322" s="29"/>
      <c r="D322" s="18"/>
    </row>
    <row r="323" spans="2:4" ht="15.75" customHeight="1">
      <c r="B323" s="29"/>
      <c r="D323" s="18"/>
    </row>
    <row r="324" spans="2:4" ht="15.75" customHeight="1">
      <c r="B324" s="29"/>
      <c r="D324" s="18"/>
    </row>
    <row r="325" spans="2:4" ht="15.75" customHeight="1">
      <c r="B325" s="29"/>
      <c r="D325" s="18"/>
    </row>
    <row r="326" spans="2:4" ht="15.75" customHeight="1">
      <c r="B326" s="29"/>
      <c r="D326" s="18"/>
    </row>
    <row r="327" spans="2:4" ht="15.75" customHeight="1">
      <c r="B327" s="29"/>
      <c r="D327" s="18"/>
    </row>
    <row r="328" spans="2:4" ht="15.75" customHeight="1">
      <c r="B328" s="29"/>
      <c r="D328" s="18"/>
    </row>
    <row r="329" spans="2:4" ht="15.75" customHeight="1">
      <c r="B329" s="29"/>
      <c r="D329" s="18"/>
    </row>
    <row r="330" spans="2:4" ht="15.75" customHeight="1">
      <c r="B330" s="29"/>
      <c r="D330" s="18"/>
    </row>
    <row r="331" spans="2:4" ht="15.75" customHeight="1">
      <c r="B331" s="29"/>
      <c r="D331" s="18"/>
    </row>
    <row r="332" spans="2:4" ht="15.75" customHeight="1">
      <c r="B332" s="29"/>
      <c r="D332" s="18"/>
    </row>
    <row r="333" spans="2:4" ht="15.75" customHeight="1">
      <c r="B333" s="29"/>
      <c r="D333" s="18"/>
    </row>
    <row r="334" spans="2:4" ht="15.75" customHeight="1">
      <c r="B334" s="29"/>
      <c r="D334" s="18"/>
    </row>
    <row r="335" spans="2:4" ht="15.75" customHeight="1">
      <c r="B335" s="29"/>
      <c r="D335" s="18"/>
    </row>
    <row r="336" spans="2:4" ht="15.75" customHeight="1">
      <c r="B336" s="29"/>
      <c r="D336" s="18"/>
    </row>
    <row r="337" spans="2:4" ht="15.75" customHeight="1">
      <c r="B337" s="29"/>
      <c r="D337" s="18"/>
    </row>
    <row r="338" spans="2:4" ht="15.75" customHeight="1">
      <c r="B338" s="29"/>
      <c r="D338" s="18"/>
    </row>
    <row r="339" spans="2:4" ht="15.75" customHeight="1">
      <c r="B339" s="29"/>
      <c r="D339" s="18"/>
    </row>
    <row r="340" spans="2:4" ht="15.75" customHeight="1">
      <c r="B340" s="29"/>
      <c r="D340" s="18"/>
    </row>
    <row r="341" spans="2:4" ht="15.75" customHeight="1">
      <c r="B341" s="29"/>
      <c r="D341" s="18"/>
    </row>
    <row r="342" spans="2:4" ht="15.75" customHeight="1">
      <c r="B342" s="29"/>
      <c r="D342" s="18"/>
    </row>
    <row r="343" spans="2:4" ht="15.75" customHeight="1">
      <c r="B343" s="29"/>
      <c r="D343" s="18"/>
    </row>
    <row r="344" spans="2:4" ht="15.75" customHeight="1">
      <c r="B344" s="29"/>
      <c r="D344" s="18"/>
    </row>
    <row r="345" spans="2:4" ht="15.75" customHeight="1">
      <c r="B345" s="29"/>
      <c r="D345" s="18"/>
    </row>
    <row r="346" spans="2:4" ht="15.75" customHeight="1">
      <c r="B346" s="29"/>
      <c r="D346" s="18"/>
    </row>
    <row r="347" spans="2:4" ht="15.75" customHeight="1">
      <c r="B347" s="29"/>
      <c r="D347" s="18"/>
    </row>
    <row r="348" spans="2:4" ht="15.75" customHeight="1">
      <c r="B348" s="29"/>
      <c r="D348" s="18"/>
    </row>
    <row r="349" spans="2:4" ht="15.75" customHeight="1">
      <c r="B349" s="29"/>
      <c r="D349" s="18"/>
    </row>
    <row r="350" spans="2:4" ht="15.75" customHeight="1">
      <c r="B350" s="29"/>
      <c r="D350" s="18"/>
    </row>
    <row r="351" spans="2:4" ht="15.75" customHeight="1">
      <c r="B351" s="29"/>
      <c r="D351" s="18"/>
    </row>
    <row r="352" spans="2:4" ht="15.75" customHeight="1">
      <c r="B352" s="29"/>
      <c r="D352" s="18"/>
    </row>
    <row r="353" spans="2:4" ht="15.75" customHeight="1">
      <c r="B353" s="29"/>
      <c r="D353" s="18"/>
    </row>
    <row r="354" spans="2:4" ht="15.75" customHeight="1">
      <c r="B354" s="29"/>
      <c r="D354" s="18"/>
    </row>
    <row r="355" spans="2:4" ht="15.75" customHeight="1">
      <c r="B355" s="29"/>
      <c r="D355" s="18"/>
    </row>
    <row r="356" spans="2:4" ht="15.75" customHeight="1">
      <c r="B356" s="29"/>
      <c r="D356" s="18"/>
    </row>
    <row r="357" spans="2:4" ht="15.75" customHeight="1">
      <c r="B357" s="29"/>
      <c r="D357" s="18"/>
    </row>
    <row r="358" spans="2:4" ht="15.75" customHeight="1">
      <c r="B358" s="29"/>
      <c r="D358" s="18"/>
    </row>
    <row r="359" spans="2:4" ht="15.75" customHeight="1">
      <c r="B359" s="29"/>
      <c r="D359" s="18"/>
    </row>
    <row r="360" spans="2:4" ht="15.75" customHeight="1">
      <c r="B360" s="29"/>
      <c r="D360" s="18"/>
    </row>
    <row r="361" spans="2:4" ht="15.75" customHeight="1">
      <c r="B361" s="29"/>
      <c r="D361" s="18"/>
    </row>
    <row r="362" spans="2:4" ht="15.75" customHeight="1">
      <c r="B362" s="29"/>
      <c r="D362" s="18"/>
    </row>
    <row r="363" spans="2:4" ht="15.75" customHeight="1">
      <c r="B363" s="29"/>
      <c r="D363" s="18"/>
    </row>
    <row r="364" spans="2:4" ht="15.75" customHeight="1">
      <c r="B364" s="29"/>
      <c r="D364" s="18"/>
    </row>
    <row r="365" spans="2:4" ht="15.75" customHeight="1">
      <c r="B365" s="29"/>
      <c r="D365" s="18"/>
    </row>
    <row r="366" spans="2:4" ht="15.75" customHeight="1">
      <c r="B366" s="29"/>
      <c r="D366" s="18"/>
    </row>
    <row r="367" spans="2:4" ht="15.75" customHeight="1">
      <c r="B367" s="29"/>
      <c r="D367" s="18"/>
    </row>
    <row r="368" spans="2:4" ht="15.75" customHeight="1">
      <c r="B368" s="29"/>
      <c r="D368" s="18"/>
    </row>
    <row r="369" spans="2:4" ht="15.75" customHeight="1">
      <c r="B369" s="29"/>
      <c r="D369" s="18"/>
    </row>
    <row r="370" spans="2:4" ht="15.75" customHeight="1">
      <c r="B370" s="29"/>
      <c r="D370" s="18"/>
    </row>
    <row r="371" spans="2:4" ht="15.75" customHeight="1">
      <c r="B371" s="29"/>
      <c r="D371" s="18"/>
    </row>
    <row r="372" spans="2:4" ht="15.75" customHeight="1">
      <c r="B372" s="29"/>
      <c r="D372" s="18"/>
    </row>
    <row r="373" spans="2:4" ht="15.75" customHeight="1">
      <c r="B373" s="29"/>
      <c r="D373" s="18"/>
    </row>
    <row r="374" spans="2:4" ht="15.75" customHeight="1">
      <c r="B374" s="29"/>
      <c r="D374" s="18"/>
    </row>
    <row r="375" spans="2:4" ht="15.75" customHeight="1">
      <c r="B375" s="29"/>
      <c r="D375" s="18"/>
    </row>
    <row r="376" spans="2:4" ht="15.75" customHeight="1">
      <c r="B376" s="29"/>
      <c r="D376" s="18"/>
    </row>
    <row r="377" spans="2:4" ht="15.75" customHeight="1">
      <c r="B377" s="29"/>
      <c r="D377" s="18"/>
    </row>
    <row r="378" spans="2:4" ht="15.75" customHeight="1">
      <c r="B378" s="29"/>
      <c r="D378" s="18"/>
    </row>
    <row r="379" spans="2:4" ht="15.75" customHeight="1">
      <c r="B379" s="29"/>
      <c r="D379" s="18"/>
    </row>
    <row r="380" spans="2:4" ht="15.75" customHeight="1">
      <c r="B380" s="29"/>
      <c r="D380" s="18"/>
    </row>
    <row r="381" spans="2:4" ht="15.75" customHeight="1">
      <c r="B381" s="29"/>
      <c r="D381" s="18"/>
    </row>
    <row r="382" spans="2:4" ht="15.75" customHeight="1">
      <c r="B382" s="29"/>
      <c r="D382" s="18"/>
    </row>
    <row r="383" spans="2:4" ht="15.75" customHeight="1">
      <c r="B383" s="29"/>
      <c r="D383" s="18"/>
    </row>
    <row r="384" spans="2:4" ht="15.75" customHeight="1">
      <c r="B384" s="29"/>
      <c r="D384" s="18"/>
    </row>
    <row r="385" spans="2:4" ht="15.75" customHeight="1">
      <c r="B385" s="29"/>
      <c r="D385" s="18"/>
    </row>
    <row r="386" spans="2:4" ht="15.75" customHeight="1">
      <c r="B386" s="29"/>
      <c r="D386" s="18"/>
    </row>
    <row r="387" spans="2:4" ht="15.75" customHeight="1">
      <c r="B387" s="29"/>
      <c r="D387" s="18"/>
    </row>
    <row r="388" spans="2:4" ht="15.75" customHeight="1">
      <c r="B388" s="29"/>
      <c r="D388" s="18"/>
    </row>
    <row r="389" spans="2:4" ht="15.75" customHeight="1">
      <c r="B389" s="29"/>
      <c r="D389" s="18"/>
    </row>
    <row r="390" spans="2:4" ht="15.75" customHeight="1">
      <c r="B390" s="29"/>
      <c r="D390" s="18"/>
    </row>
    <row r="391" spans="2:4" ht="15.75" customHeight="1">
      <c r="B391" s="29"/>
      <c r="D391" s="18"/>
    </row>
    <row r="392" spans="2:4" ht="15.75" customHeight="1">
      <c r="B392" s="29"/>
      <c r="D392" s="18"/>
    </row>
    <row r="393" spans="2:4" ht="15.75" customHeight="1">
      <c r="B393" s="29"/>
      <c r="D393" s="18"/>
    </row>
    <row r="394" spans="2:4" ht="15.75" customHeight="1">
      <c r="B394" s="29"/>
      <c r="D394" s="18"/>
    </row>
    <row r="395" spans="2:4" ht="15.75" customHeight="1">
      <c r="B395" s="29"/>
      <c r="D395" s="18"/>
    </row>
    <row r="396" spans="2:4" ht="15.75" customHeight="1">
      <c r="B396" s="29"/>
      <c r="D396" s="18"/>
    </row>
    <row r="397" spans="2:4" ht="15.75" customHeight="1">
      <c r="B397" s="29"/>
      <c r="D397" s="18"/>
    </row>
    <row r="398" spans="2:4" ht="15.75" customHeight="1">
      <c r="B398" s="29"/>
      <c r="D398" s="18"/>
    </row>
    <row r="399" spans="2:4" ht="15.75" customHeight="1">
      <c r="B399" s="29"/>
      <c r="D399" s="18"/>
    </row>
    <row r="400" spans="2:4" ht="15.75" customHeight="1">
      <c r="B400" s="29"/>
      <c r="D400" s="18"/>
    </row>
    <row r="401" spans="2:4" ht="15.75" customHeight="1">
      <c r="B401" s="29"/>
      <c r="D401" s="18"/>
    </row>
    <row r="402" spans="2:4" ht="15.75" customHeight="1">
      <c r="B402" s="29"/>
      <c r="D402" s="18"/>
    </row>
    <row r="403" spans="2:4" ht="15.75" customHeight="1">
      <c r="B403" s="29"/>
      <c r="D403" s="18"/>
    </row>
    <row r="404" spans="2:4" ht="15.75" customHeight="1">
      <c r="B404" s="29"/>
      <c r="D404" s="18"/>
    </row>
    <row r="405" spans="2:4" ht="15.75" customHeight="1">
      <c r="B405" s="29"/>
      <c r="D405" s="18"/>
    </row>
    <row r="406" spans="2:4" ht="15.75" customHeight="1">
      <c r="B406" s="29"/>
      <c r="D406" s="18"/>
    </row>
    <row r="407" spans="2:4" ht="15.75" customHeight="1">
      <c r="B407" s="29"/>
      <c r="D407" s="18"/>
    </row>
    <row r="408" spans="2:4" ht="15.75" customHeight="1">
      <c r="B408" s="29"/>
      <c r="D408" s="18"/>
    </row>
    <row r="409" spans="2:4" ht="15.75" customHeight="1">
      <c r="B409" s="29"/>
      <c r="D409" s="18"/>
    </row>
    <row r="410" spans="2:4" ht="15.75" customHeight="1">
      <c r="B410" s="29"/>
      <c r="D410" s="18"/>
    </row>
    <row r="411" spans="2:4" ht="15.75" customHeight="1">
      <c r="B411" s="29"/>
      <c r="D411" s="18"/>
    </row>
    <row r="412" spans="2:4" ht="15.75" customHeight="1">
      <c r="B412" s="29"/>
      <c r="D412" s="18"/>
    </row>
    <row r="413" spans="2:4" ht="15.75" customHeight="1">
      <c r="B413" s="29"/>
      <c r="D413" s="18"/>
    </row>
    <row r="414" spans="2:4" ht="15.75" customHeight="1">
      <c r="B414" s="29"/>
      <c r="D414" s="18"/>
    </row>
    <row r="415" spans="2:4" ht="15.75" customHeight="1">
      <c r="B415" s="29"/>
      <c r="D415" s="18"/>
    </row>
    <row r="416" spans="2:4" ht="15.75" customHeight="1">
      <c r="B416" s="29"/>
      <c r="D416" s="18"/>
    </row>
    <row r="417" spans="2:4" ht="15.75" customHeight="1">
      <c r="B417" s="29"/>
      <c r="D417" s="18"/>
    </row>
    <row r="418" spans="2:4" ht="15.75" customHeight="1">
      <c r="B418" s="29"/>
      <c r="D418" s="18"/>
    </row>
    <row r="419" spans="2:4" ht="15.75" customHeight="1">
      <c r="B419" s="29"/>
      <c r="D419" s="18"/>
    </row>
    <row r="420" spans="2:4" ht="15.75" customHeight="1">
      <c r="B420" s="29"/>
      <c r="D420" s="18"/>
    </row>
    <row r="421" spans="2:4" ht="15.75" customHeight="1">
      <c r="B421" s="29"/>
      <c r="D421" s="18"/>
    </row>
    <row r="422" spans="2:4" ht="15.75" customHeight="1">
      <c r="B422" s="29"/>
      <c r="D422" s="18"/>
    </row>
    <row r="423" spans="2:4" ht="15.75" customHeight="1">
      <c r="B423" s="29"/>
      <c r="D423" s="18"/>
    </row>
    <row r="424" spans="2:4" ht="15.75" customHeight="1">
      <c r="B424" s="29"/>
      <c r="D424" s="18"/>
    </row>
    <row r="425" spans="2:4" ht="15.75" customHeight="1">
      <c r="B425" s="29"/>
      <c r="D425" s="18"/>
    </row>
    <row r="426" spans="2:4" ht="15.75" customHeight="1">
      <c r="B426" s="29"/>
      <c r="D426" s="18"/>
    </row>
    <row r="427" spans="2:4" ht="15.75" customHeight="1">
      <c r="B427" s="29"/>
      <c r="D427" s="18"/>
    </row>
    <row r="428" spans="2:4" ht="15.75" customHeight="1">
      <c r="B428" s="29"/>
      <c r="D428" s="18"/>
    </row>
    <row r="429" spans="2:4" ht="15.75" customHeight="1">
      <c r="B429" s="29"/>
      <c r="D429" s="18"/>
    </row>
    <row r="430" spans="2:4" ht="15.75" customHeight="1">
      <c r="B430" s="29"/>
      <c r="D430" s="18"/>
    </row>
    <row r="431" spans="2:4" ht="15.75" customHeight="1">
      <c r="B431" s="29"/>
      <c r="D431" s="18"/>
    </row>
    <row r="432" spans="2:4" ht="15.75" customHeight="1">
      <c r="B432" s="29"/>
      <c r="D432" s="18"/>
    </row>
    <row r="433" spans="2:4" ht="15.75" customHeight="1">
      <c r="B433" s="29"/>
      <c r="D433" s="18"/>
    </row>
    <row r="434" spans="2:4" ht="15.75" customHeight="1">
      <c r="B434" s="29"/>
      <c r="D434" s="18"/>
    </row>
    <row r="435" spans="2:4" ht="15.75" customHeight="1">
      <c r="B435" s="29"/>
      <c r="D435" s="18"/>
    </row>
    <row r="436" spans="2:4" ht="15.75" customHeight="1">
      <c r="B436" s="29"/>
      <c r="D436" s="18"/>
    </row>
    <row r="437" spans="2:4" ht="15.75" customHeight="1">
      <c r="B437" s="29"/>
      <c r="D437" s="18"/>
    </row>
    <row r="438" spans="2:4" ht="15.75" customHeight="1">
      <c r="B438" s="29"/>
      <c r="D438" s="18"/>
    </row>
    <row r="439" spans="2:4" ht="15.75" customHeight="1">
      <c r="B439" s="29"/>
      <c r="D439" s="18"/>
    </row>
    <row r="440" spans="2:4" ht="15.75" customHeight="1">
      <c r="B440" s="29"/>
      <c r="D440" s="18"/>
    </row>
    <row r="441" spans="2:4" ht="15.75" customHeight="1">
      <c r="B441" s="29"/>
      <c r="D441" s="18"/>
    </row>
    <row r="442" spans="2:4" ht="15.75" customHeight="1">
      <c r="B442" s="29"/>
      <c r="D442" s="18"/>
    </row>
    <row r="443" spans="2:4" ht="15.75" customHeight="1">
      <c r="B443" s="29"/>
      <c r="D443" s="18"/>
    </row>
    <row r="444" spans="2:4" ht="15.75" customHeight="1">
      <c r="B444" s="29"/>
      <c r="D444" s="18"/>
    </row>
    <row r="445" spans="2:4" ht="15.75" customHeight="1">
      <c r="B445" s="29"/>
      <c r="D445" s="18"/>
    </row>
    <row r="446" spans="2:4" ht="15.75" customHeight="1">
      <c r="B446" s="29"/>
      <c r="D446" s="18"/>
    </row>
    <row r="447" spans="2:4" ht="15.75" customHeight="1">
      <c r="B447" s="29"/>
      <c r="D447" s="18"/>
    </row>
    <row r="448" spans="2:4" ht="15.75" customHeight="1">
      <c r="B448" s="29"/>
      <c r="D448" s="18"/>
    </row>
    <row r="449" spans="2:4" ht="15.75" customHeight="1">
      <c r="B449" s="29"/>
      <c r="D449" s="18"/>
    </row>
    <row r="450" spans="2:4" ht="15.75" customHeight="1">
      <c r="B450" s="29"/>
      <c r="D450" s="18"/>
    </row>
    <row r="451" spans="2:4" ht="15.75" customHeight="1">
      <c r="B451" s="29"/>
      <c r="D451" s="18"/>
    </row>
    <row r="452" spans="2:4" ht="15.75" customHeight="1">
      <c r="B452" s="29"/>
      <c r="D452" s="18"/>
    </row>
    <row r="453" spans="2:4" ht="15.75" customHeight="1">
      <c r="B453" s="29"/>
      <c r="D453" s="18"/>
    </row>
    <row r="454" spans="2:4" ht="15.75" customHeight="1">
      <c r="B454" s="29"/>
      <c r="D454" s="18"/>
    </row>
    <row r="455" spans="2:4" ht="15.75" customHeight="1">
      <c r="B455" s="29"/>
      <c r="D455" s="18"/>
    </row>
    <row r="456" spans="2:4" ht="15.75" customHeight="1">
      <c r="B456" s="29"/>
      <c r="D456" s="18"/>
    </row>
    <row r="457" spans="2:4" ht="15.75" customHeight="1">
      <c r="B457" s="29"/>
      <c r="D457" s="18"/>
    </row>
    <row r="458" spans="2:4" ht="15.75" customHeight="1">
      <c r="B458" s="29"/>
      <c r="D458" s="18"/>
    </row>
    <row r="459" spans="2:4" ht="15.75" customHeight="1">
      <c r="B459" s="29"/>
      <c r="D459" s="18"/>
    </row>
    <row r="460" spans="2:4" ht="15.75" customHeight="1">
      <c r="B460" s="29"/>
      <c r="D460" s="18"/>
    </row>
    <row r="461" spans="2:4" ht="15.75" customHeight="1">
      <c r="B461" s="29"/>
      <c r="D461" s="18"/>
    </row>
    <row r="462" spans="2:4" ht="15.75" customHeight="1">
      <c r="B462" s="29"/>
      <c r="D462" s="18"/>
    </row>
    <row r="463" spans="2:4" ht="15.75" customHeight="1">
      <c r="B463" s="29"/>
      <c r="D463" s="18"/>
    </row>
    <row r="464" spans="2:4" ht="15.75" customHeight="1">
      <c r="B464" s="29"/>
      <c r="D464" s="18"/>
    </row>
    <row r="465" spans="2:4" ht="15.75" customHeight="1">
      <c r="B465" s="29"/>
      <c r="D465" s="18"/>
    </row>
    <row r="466" spans="2:4" ht="15.75" customHeight="1">
      <c r="B466" s="29"/>
      <c r="D466" s="18"/>
    </row>
    <row r="467" spans="2:4" ht="15.75" customHeight="1">
      <c r="B467" s="29"/>
      <c r="D467" s="18"/>
    </row>
    <row r="468" spans="2:4" ht="15.75" customHeight="1">
      <c r="B468" s="29"/>
      <c r="D468" s="18"/>
    </row>
    <row r="469" spans="2:4" ht="15.75" customHeight="1">
      <c r="B469" s="29"/>
      <c r="D469" s="18"/>
    </row>
    <row r="470" spans="2:4" ht="15.75" customHeight="1">
      <c r="B470" s="29"/>
      <c r="D470" s="18"/>
    </row>
    <row r="471" spans="2:4" ht="15.75" customHeight="1">
      <c r="B471" s="29"/>
      <c r="D471" s="18"/>
    </row>
    <row r="472" spans="2:4" ht="15.75" customHeight="1">
      <c r="B472" s="29"/>
      <c r="D472" s="18"/>
    </row>
    <row r="473" spans="2:4" ht="15.75" customHeight="1">
      <c r="B473" s="29"/>
      <c r="D473" s="18"/>
    </row>
    <row r="474" spans="2:4" ht="15.75" customHeight="1">
      <c r="B474" s="29"/>
      <c r="D474" s="18"/>
    </row>
    <row r="475" spans="2:4" ht="15.75" customHeight="1">
      <c r="B475" s="29"/>
      <c r="D475" s="18"/>
    </row>
    <row r="476" spans="2:4" ht="15.75" customHeight="1">
      <c r="B476" s="29"/>
      <c r="D476" s="18"/>
    </row>
    <row r="477" spans="2:4" ht="15.75" customHeight="1">
      <c r="B477" s="29"/>
      <c r="D477" s="18"/>
    </row>
    <row r="478" spans="2:4" ht="15.75" customHeight="1">
      <c r="B478" s="29"/>
      <c r="D478" s="18"/>
    </row>
    <row r="479" spans="2:4" ht="15.75" customHeight="1">
      <c r="B479" s="29"/>
      <c r="D479" s="18"/>
    </row>
    <row r="480" spans="2:4" ht="15.75" customHeight="1">
      <c r="B480" s="29"/>
      <c r="D480" s="18"/>
    </row>
    <row r="481" spans="2:4" ht="15.75" customHeight="1">
      <c r="B481" s="29"/>
      <c r="D481" s="18"/>
    </row>
    <row r="482" spans="2:4" ht="15.75" customHeight="1">
      <c r="B482" s="29"/>
      <c r="D482" s="18"/>
    </row>
    <row r="483" spans="2:4" ht="15.75" customHeight="1">
      <c r="B483" s="29"/>
      <c r="D483" s="18"/>
    </row>
    <row r="484" spans="2:4" ht="15.75" customHeight="1">
      <c r="B484" s="29"/>
      <c r="D484" s="18"/>
    </row>
    <row r="485" spans="2:4" ht="15.75" customHeight="1">
      <c r="B485" s="29"/>
      <c r="D485" s="18"/>
    </row>
    <row r="486" spans="2:4" ht="15.75" customHeight="1">
      <c r="B486" s="29"/>
      <c r="D486" s="18"/>
    </row>
    <row r="487" spans="2:4" ht="15.75" customHeight="1">
      <c r="B487" s="29"/>
      <c r="D487" s="18"/>
    </row>
    <row r="488" spans="2:4" ht="15.75" customHeight="1">
      <c r="B488" s="29"/>
      <c r="D488" s="18"/>
    </row>
    <row r="489" spans="2:4" ht="15.75" customHeight="1">
      <c r="B489" s="29"/>
      <c r="D489" s="18"/>
    </row>
    <row r="490" spans="2:4" ht="15.75" customHeight="1">
      <c r="B490" s="29"/>
      <c r="D490" s="18"/>
    </row>
    <row r="491" spans="2:4" ht="15.75" customHeight="1">
      <c r="B491" s="29"/>
      <c r="D491" s="18"/>
    </row>
    <row r="492" spans="2:4" ht="15.75" customHeight="1">
      <c r="B492" s="29"/>
      <c r="D492" s="18"/>
    </row>
    <row r="493" spans="2:4" ht="15.75" customHeight="1">
      <c r="B493" s="29"/>
      <c r="D493" s="18"/>
    </row>
    <row r="494" spans="2:4" ht="15.75" customHeight="1">
      <c r="B494" s="29"/>
      <c r="D494" s="18"/>
    </row>
    <row r="495" spans="2:4" ht="15.75" customHeight="1">
      <c r="B495" s="29"/>
      <c r="D495" s="18"/>
    </row>
    <row r="496" spans="2:4" ht="15.75" customHeight="1">
      <c r="B496" s="29"/>
      <c r="D496" s="18"/>
    </row>
    <row r="497" spans="2:4" ht="15.75" customHeight="1">
      <c r="B497" s="29"/>
      <c r="D497" s="18"/>
    </row>
    <row r="498" spans="2:4" ht="15.75" customHeight="1">
      <c r="B498" s="29"/>
      <c r="D498" s="18"/>
    </row>
    <row r="499" spans="2:4" ht="15.75" customHeight="1">
      <c r="B499" s="29"/>
      <c r="D499" s="18"/>
    </row>
    <row r="500" spans="2:4" ht="15.75" customHeight="1">
      <c r="B500" s="29"/>
      <c r="D500" s="18"/>
    </row>
    <row r="501" spans="2:4" ht="15.75" customHeight="1">
      <c r="B501" s="29"/>
      <c r="D501" s="18"/>
    </row>
    <row r="502" spans="2:4" ht="15.75" customHeight="1">
      <c r="B502" s="29"/>
      <c r="D502" s="18"/>
    </row>
    <row r="503" spans="2:4" ht="15.75" customHeight="1">
      <c r="B503" s="29"/>
      <c r="D503" s="18"/>
    </row>
    <row r="504" spans="2:4" ht="15.75" customHeight="1">
      <c r="B504" s="29"/>
      <c r="D504" s="18"/>
    </row>
    <row r="505" spans="2:4" ht="15.75" customHeight="1">
      <c r="B505" s="29"/>
      <c r="D505" s="18"/>
    </row>
    <row r="506" spans="2:4" ht="15.75" customHeight="1">
      <c r="B506" s="29"/>
      <c r="D506" s="18"/>
    </row>
    <row r="507" spans="2:4" ht="15.75" customHeight="1">
      <c r="B507" s="29"/>
      <c r="D507" s="18"/>
    </row>
    <row r="508" spans="2:4" ht="15.75" customHeight="1">
      <c r="B508" s="29"/>
      <c r="D508" s="18"/>
    </row>
    <row r="509" spans="2:4" ht="15.75" customHeight="1">
      <c r="B509" s="29"/>
      <c r="D509" s="18"/>
    </row>
    <row r="510" spans="2:4" ht="15.75" customHeight="1">
      <c r="B510" s="29"/>
      <c r="D510" s="18"/>
    </row>
    <row r="511" spans="2:4" ht="15.75" customHeight="1">
      <c r="B511" s="29"/>
      <c r="D511" s="18"/>
    </row>
    <row r="512" spans="2:4" ht="15.75" customHeight="1">
      <c r="B512" s="29"/>
      <c r="D512" s="18"/>
    </row>
    <row r="513" spans="2:4" ht="15.75" customHeight="1">
      <c r="B513" s="29"/>
      <c r="D513" s="18"/>
    </row>
    <row r="514" spans="2:4" ht="15.75" customHeight="1">
      <c r="B514" s="29"/>
      <c r="D514" s="18"/>
    </row>
    <row r="515" spans="2:4" ht="15.75" customHeight="1">
      <c r="B515" s="29"/>
      <c r="D515" s="18"/>
    </row>
    <row r="516" spans="2:4" ht="15.75" customHeight="1">
      <c r="B516" s="29"/>
      <c r="D516" s="18"/>
    </row>
    <row r="517" spans="2:4" ht="15.75" customHeight="1">
      <c r="B517" s="29"/>
      <c r="D517" s="18"/>
    </row>
    <row r="518" spans="2:4" ht="15.75" customHeight="1">
      <c r="B518" s="29"/>
      <c r="D518" s="18"/>
    </row>
    <row r="519" spans="2:4" ht="15.75" customHeight="1">
      <c r="B519" s="29"/>
      <c r="D519" s="18"/>
    </row>
    <row r="520" spans="2:4" ht="15.75" customHeight="1">
      <c r="B520" s="29"/>
      <c r="D520" s="18"/>
    </row>
    <row r="521" spans="2:4" ht="15.75" customHeight="1">
      <c r="B521" s="29"/>
      <c r="D521" s="18"/>
    </row>
    <row r="522" spans="2:4" ht="15.75" customHeight="1">
      <c r="B522" s="29"/>
      <c r="D522" s="18"/>
    </row>
    <row r="523" spans="2:4" ht="15.75" customHeight="1">
      <c r="B523" s="29"/>
      <c r="D523" s="18"/>
    </row>
    <row r="524" spans="2:4" ht="15.75" customHeight="1">
      <c r="B524" s="29"/>
      <c r="D524" s="18"/>
    </row>
    <row r="525" spans="2:4" ht="15.75" customHeight="1">
      <c r="B525" s="29"/>
      <c r="D525" s="18"/>
    </row>
    <row r="526" spans="2:4" ht="15.75" customHeight="1">
      <c r="B526" s="29"/>
      <c r="D526" s="18"/>
    </row>
    <row r="527" spans="2:4" ht="15.75" customHeight="1">
      <c r="B527" s="29"/>
      <c r="D527" s="18"/>
    </row>
    <row r="528" spans="2:4" ht="15.75" customHeight="1">
      <c r="B528" s="29"/>
      <c r="D528" s="18"/>
    </row>
    <row r="529" spans="2:4" ht="15.75" customHeight="1">
      <c r="B529" s="29"/>
      <c r="D529" s="18"/>
    </row>
    <row r="530" spans="2:4" ht="15.75" customHeight="1">
      <c r="B530" s="29"/>
      <c r="D530" s="18"/>
    </row>
    <row r="531" spans="2:4" ht="15.75" customHeight="1">
      <c r="B531" s="29"/>
      <c r="D531" s="18"/>
    </row>
    <row r="532" spans="2:4" ht="15.75" customHeight="1">
      <c r="B532" s="29"/>
      <c r="D532" s="18"/>
    </row>
    <row r="533" spans="2:4" ht="15.75" customHeight="1">
      <c r="B533" s="29"/>
      <c r="D533" s="18"/>
    </row>
    <row r="534" spans="2:4" ht="15.75" customHeight="1">
      <c r="B534" s="29"/>
      <c r="D534" s="18"/>
    </row>
    <row r="535" spans="2:4" ht="15.75" customHeight="1">
      <c r="B535" s="29"/>
      <c r="D535" s="18"/>
    </row>
    <row r="536" spans="2:4" ht="15.75" customHeight="1">
      <c r="B536" s="29"/>
      <c r="D536" s="18"/>
    </row>
    <row r="537" spans="2:4" ht="15.75" customHeight="1">
      <c r="B537" s="29"/>
      <c r="D537" s="18"/>
    </row>
    <row r="538" spans="2:4" ht="15.75" customHeight="1">
      <c r="B538" s="29"/>
      <c r="D538" s="18"/>
    </row>
    <row r="539" spans="2:4" ht="15.75" customHeight="1">
      <c r="B539" s="29"/>
      <c r="D539" s="18"/>
    </row>
    <row r="540" spans="2:4" ht="15.75" customHeight="1">
      <c r="B540" s="29"/>
      <c r="D540" s="18"/>
    </row>
    <row r="541" spans="2:4" ht="15.75" customHeight="1">
      <c r="B541" s="29"/>
      <c r="D541" s="18"/>
    </row>
    <row r="542" spans="2:4" ht="15.75" customHeight="1">
      <c r="B542" s="29"/>
      <c r="D542" s="18"/>
    </row>
    <row r="543" spans="2:4" ht="15.75" customHeight="1">
      <c r="B543" s="29"/>
      <c r="D543" s="18"/>
    </row>
    <row r="544" spans="2:4" ht="15.75" customHeight="1">
      <c r="B544" s="29"/>
      <c r="D544" s="18"/>
    </row>
    <row r="545" spans="2:4" ht="15.75" customHeight="1">
      <c r="B545" s="29"/>
      <c r="D545" s="18"/>
    </row>
    <row r="546" spans="2:4" ht="15.75" customHeight="1">
      <c r="B546" s="29"/>
      <c r="D546" s="18"/>
    </row>
    <row r="547" spans="2:4" ht="15.75" customHeight="1">
      <c r="B547" s="29"/>
      <c r="D547" s="18"/>
    </row>
    <row r="548" spans="2:4" ht="15.75" customHeight="1">
      <c r="B548" s="29"/>
      <c r="D548" s="18"/>
    </row>
    <row r="549" spans="2:4" ht="15.75" customHeight="1">
      <c r="B549" s="29"/>
      <c r="D549" s="18"/>
    </row>
    <row r="550" spans="2:4" ht="15.75" customHeight="1">
      <c r="B550" s="29"/>
      <c r="D550" s="18"/>
    </row>
    <row r="551" spans="2:4" ht="15.75" customHeight="1">
      <c r="B551" s="29"/>
      <c r="D551" s="18"/>
    </row>
    <row r="552" spans="2:4" ht="15.75" customHeight="1">
      <c r="B552" s="29"/>
      <c r="D552" s="18"/>
    </row>
    <row r="553" spans="2:4" ht="15.75" customHeight="1">
      <c r="B553" s="29"/>
      <c r="D553" s="18"/>
    </row>
    <row r="554" spans="2:4" ht="15.75" customHeight="1">
      <c r="B554" s="29"/>
      <c r="D554" s="18"/>
    </row>
    <row r="555" spans="2:4" ht="15.75" customHeight="1">
      <c r="B555" s="29"/>
      <c r="D555" s="18"/>
    </row>
    <row r="556" spans="2:4" ht="15.75" customHeight="1">
      <c r="B556" s="29"/>
      <c r="D556" s="18"/>
    </row>
    <row r="557" spans="2:4" ht="15.75" customHeight="1">
      <c r="B557" s="29"/>
      <c r="D557" s="18"/>
    </row>
    <row r="558" spans="2:4" ht="15.75" customHeight="1">
      <c r="B558" s="29"/>
      <c r="D558" s="18"/>
    </row>
    <row r="559" spans="2:4" ht="15.75" customHeight="1">
      <c r="B559" s="29"/>
      <c r="D559" s="18"/>
    </row>
    <row r="560" spans="2:4" ht="15.75" customHeight="1">
      <c r="B560" s="29"/>
      <c r="D560" s="18"/>
    </row>
    <row r="561" spans="2:4" ht="15.75" customHeight="1">
      <c r="B561" s="29"/>
      <c r="D561" s="18"/>
    </row>
    <row r="562" spans="2:4" ht="15.75" customHeight="1">
      <c r="B562" s="29"/>
      <c r="D562" s="18"/>
    </row>
    <row r="563" spans="2:4" ht="15.75" customHeight="1">
      <c r="B563" s="29"/>
      <c r="D563" s="18"/>
    </row>
    <row r="564" spans="2:4" ht="15.75" customHeight="1">
      <c r="B564" s="29"/>
      <c r="D564" s="18"/>
    </row>
    <row r="565" spans="2:4" ht="15.75" customHeight="1">
      <c r="B565" s="29"/>
      <c r="D565" s="18"/>
    </row>
    <row r="566" spans="2:4" ht="15.75" customHeight="1">
      <c r="B566" s="29"/>
      <c r="D566" s="18"/>
    </row>
    <row r="567" spans="2:4" ht="15.75" customHeight="1">
      <c r="B567" s="29"/>
      <c r="D567" s="18"/>
    </row>
    <row r="568" spans="2:4" ht="15.75" customHeight="1">
      <c r="B568" s="29"/>
      <c r="D568" s="18"/>
    </row>
    <row r="569" spans="2:4" ht="15.75" customHeight="1">
      <c r="B569" s="29"/>
      <c r="D569" s="18"/>
    </row>
    <row r="570" spans="2:4" ht="15.75" customHeight="1">
      <c r="B570" s="29"/>
      <c r="D570" s="18"/>
    </row>
    <row r="571" spans="2:4" ht="15.75" customHeight="1">
      <c r="B571" s="29"/>
      <c r="D571" s="18"/>
    </row>
    <row r="572" spans="2:4" ht="15.75" customHeight="1">
      <c r="B572" s="29"/>
      <c r="D572" s="18"/>
    </row>
    <row r="573" spans="2:4" ht="15.75" customHeight="1">
      <c r="B573" s="29"/>
      <c r="D573" s="18"/>
    </row>
    <row r="574" spans="2:4" ht="15.75" customHeight="1">
      <c r="B574" s="29"/>
      <c r="D574" s="18"/>
    </row>
    <row r="575" spans="2:4" ht="15.75" customHeight="1">
      <c r="B575" s="29"/>
      <c r="D575" s="18"/>
    </row>
    <row r="576" spans="2:4" ht="15.75" customHeight="1">
      <c r="B576" s="29"/>
      <c r="D576" s="18"/>
    </row>
    <row r="577" spans="2:4" ht="15.75" customHeight="1">
      <c r="B577" s="29"/>
      <c r="D577" s="18"/>
    </row>
    <row r="578" spans="2:4" ht="15.75" customHeight="1">
      <c r="B578" s="29"/>
      <c r="D578" s="18"/>
    </row>
    <row r="579" spans="2:4" ht="15.75" customHeight="1">
      <c r="B579" s="29"/>
      <c r="D579" s="18"/>
    </row>
    <row r="580" spans="2:4" ht="15.75" customHeight="1">
      <c r="B580" s="29"/>
      <c r="D580" s="18"/>
    </row>
    <row r="581" spans="2:4" ht="15.75" customHeight="1">
      <c r="B581" s="29"/>
      <c r="D581" s="18"/>
    </row>
    <row r="582" spans="2:4" ht="15.75" customHeight="1">
      <c r="B582" s="29"/>
      <c r="D582" s="18"/>
    </row>
    <row r="583" spans="2:4" ht="15.75" customHeight="1">
      <c r="B583" s="29"/>
      <c r="D583" s="18"/>
    </row>
    <row r="584" spans="2:4" ht="15.75" customHeight="1">
      <c r="B584" s="29"/>
      <c r="D584" s="18"/>
    </row>
    <row r="585" spans="2:4" ht="15.75" customHeight="1">
      <c r="B585" s="29"/>
      <c r="D585" s="18"/>
    </row>
    <row r="586" spans="2:4" ht="15.75" customHeight="1">
      <c r="B586" s="29"/>
      <c r="D586" s="18"/>
    </row>
    <row r="587" spans="2:4" ht="15.75" customHeight="1">
      <c r="B587" s="29"/>
      <c r="D587" s="18"/>
    </row>
    <row r="588" spans="2:4" ht="15.75" customHeight="1">
      <c r="B588" s="29"/>
      <c r="D588" s="18"/>
    </row>
    <row r="589" spans="2:4" ht="15.75" customHeight="1">
      <c r="B589" s="29"/>
      <c r="D589" s="18"/>
    </row>
    <row r="590" spans="2:4" ht="15.75" customHeight="1">
      <c r="B590" s="29"/>
      <c r="D590" s="18"/>
    </row>
    <row r="591" spans="2:4" ht="15.75" customHeight="1">
      <c r="B591" s="29"/>
      <c r="D591" s="18"/>
    </row>
    <row r="592" spans="2:4" ht="15.75" customHeight="1">
      <c r="B592" s="29"/>
      <c r="D592" s="18"/>
    </row>
    <row r="593" spans="2:4" ht="15.75" customHeight="1">
      <c r="B593" s="29"/>
      <c r="D593" s="18"/>
    </row>
    <row r="594" spans="2:4" ht="15.75" customHeight="1">
      <c r="B594" s="29"/>
      <c r="D594" s="18"/>
    </row>
    <row r="595" spans="2:4" ht="15.75" customHeight="1">
      <c r="B595" s="29"/>
      <c r="D595" s="18"/>
    </row>
    <row r="596" spans="2:4" ht="15.75" customHeight="1">
      <c r="B596" s="29"/>
      <c r="D596" s="18"/>
    </row>
    <row r="597" spans="2:4" ht="15.75" customHeight="1">
      <c r="B597" s="29"/>
      <c r="D597" s="18"/>
    </row>
    <row r="598" spans="2:4" ht="15.75" customHeight="1">
      <c r="B598" s="29"/>
      <c r="D598" s="18"/>
    </row>
    <row r="599" spans="2:4" ht="15.75" customHeight="1">
      <c r="B599" s="29"/>
      <c r="D599" s="18"/>
    </row>
    <row r="600" spans="2:4" ht="15.75" customHeight="1">
      <c r="B600" s="29"/>
      <c r="D600" s="18"/>
    </row>
    <row r="601" spans="2:4" ht="15.75" customHeight="1">
      <c r="B601" s="29"/>
      <c r="D601" s="18"/>
    </row>
    <row r="602" spans="2:4" ht="15.75" customHeight="1">
      <c r="B602" s="29"/>
      <c r="D602" s="18"/>
    </row>
    <row r="603" spans="2:4" ht="15.75" customHeight="1">
      <c r="B603" s="29"/>
      <c r="D603" s="18"/>
    </row>
    <row r="604" spans="2:4" ht="15.75" customHeight="1">
      <c r="B604" s="29"/>
      <c r="D604" s="18"/>
    </row>
    <row r="605" spans="2:4" ht="15.75" customHeight="1">
      <c r="B605" s="29"/>
      <c r="D605" s="18"/>
    </row>
    <row r="606" spans="2:4" ht="15.75" customHeight="1">
      <c r="B606" s="29"/>
      <c r="D606" s="18"/>
    </row>
    <row r="607" spans="2:4" ht="15.75" customHeight="1">
      <c r="B607" s="29"/>
      <c r="D607" s="18"/>
    </row>
    <row r="608" spans="2:4" ht="15.75" customHeight="1">
      <c r="B608" s="29"/>
      <c r="D608" s="18"/>
    </row>
    <row r="609" spans="2:4" ht="15.75" customHeight="1">
      <c r="B609" s="29"/>
      <c r="D609" s="18"/>
    </row>
    <row r="610" spans="2:4" ht="15.75" customHeight="1">
      <c r="B610" s="29"/>
      <c r="D610" s="18"/>
    </row>
    <row r="611" spans="2:4" ht="15.75" customHeight="1">
      <c r="B611" s="29"/>
      <c r="D611" s="18"/>
    </row>
    <row r="612" spans="2:4" ht="15.75" customHeight="1">
      <c r="B612" s="29"/>
      <c r="D612" s="18"/>
    </row>
    <row r="613" spans="2:4" ht="15.75" customHeight="1">
      <c r="B613" s="29"/>
      <c r="D613" s="18"/>
    </row>
    <row r="614" spans="2:4" ht="15.75" customHeight="1">
      <c r="B614" s="29"/>
      <c r="D614" s="18"/>
    </row>
    <row r="615" spans="2:4" ht="15.75" customHeight="1">
      <c r="B615" s="29"/>
      <c r="D615" s="18"/>
    </row>
    <row r="616" spans="2:4" ht="15.75" customHeight="1">
      <c r="B616" s="29"/>
      <c r="D616" s="18"/>
    </row>
    <row r="617" spans="2:4" ht="15.75" customHeight="1">
      <c r="B617" s="29"/>
      <c r="D617" s="18"/>
    </row>
    <row r="618" spans="2:4" ht="15.75" customHeight="1">
      <c r="B618" s="29"/>
      <c r="D618" s="18"/>
    </row>
    <row r="619" spans="2:4" ht="15.75" customHeight="1">
      <c r="B619" s="29"/>
      <c r="D619" s="18"/>
    </row>
    <row r="620" spans="2:4" ht="15.75" customHeight="1">
      <c r="B620" s="29"/>
      <c r="D620" s="18"/>
    </row>
    <row r="621" spans="2:4" ht="15.75" customHeight="1">
      <c r="B621" s="29"/>
      <c r="D621" s="18"/>
    </row>
    <row r="622" spans="2:4" ht="15.75" customHeight="1">
      <c r="B622" s="29"/>
      <c r="D622" s="18"/>
    </row>
    <row r="623" spans="2:4" ht="15.75" customHeight="1">
      <c r="B623" s="29"/>
      <c r="D623" s="18"/>
    </row>
    <row r="624" spans="2:4" ht="15.75" customHeight="1">
      <c r="B624" s="29"/>
      <c r="D624" s="18"/>
    </row>
    <row r="625" spans="2:4" ht="15.75" customHeight="1">
      <c r="B625" s="29"/>
      <c r="D625" s="18"/>
    </row>
    <row r="626" spans="2:4" ht="15.75" customHeight="1">
      <c r="B626" s="29"/>
      <c r="D626" s="18"/>
    </row>
    <row r="627" spans="2:4" ht="15.75" customHeight="1">
      <c r="B627" s="29"/>
      <c r="D627" s="18"/>
    </row>
    <row r="628" spans="2:4" ht="15.75" customHeight="1">
      <c r="B628" s="29"/>
      <c r="D628" s="18"/>
    </row>
    <row r="629" spans="2:4" ht="15.75" customHeight="1">
      <c r="B629" s="29"/>
      <c r="D629" s="18"/>
    </row>
    <row r="630" spans="2:4" ht="15.75" customHeight="1">
      <c r="B630" s="29"/>
      <c r="D630" s="18"/>
    </row>
    <row r="631" spans="2:4" ht="15.75" customHeight="1">
      <c r="B631" s="29"/>
      <c r="D631" s="18"/>
    </row>
    <row r="632" spans="2:4" ht="15.75" customHeight="1">
      <c r="B632" s="29"/>
      <c r="D632" s="18"/>
    </row>
    <row r="633" spans="2:4" ht="15.75" customHeight="1">
      <c r="B633" s="29"/>
      <c r="D633" s="18"/>
    </row>
    <row r="634" spans="2:4" ht="15.75" customHeight="1">
      <c r="B634" s="29"/>
      <c r="D634" s="18"/>
    </row>
    <row r="635" spans="2:4" ht="15.75" customHeight="1">
      <c r="B635" s="29"/>
      <c r="D635" s="18"/>
    </row>
    <row r="636" spans="2:4" ht="15.75" customHeight="1">
      <c r="B636" s="29"/>
      <c r="D636" s="18"/>
    </row>
    <row r="637" spans="2:4" ht="15.75" customHeight="1">
      <c r="B637" s="29"/>
      <c r="D637" s="18"/>
    </row>
    <row r="638" spans="2:4" ht="15.75" customHeight="1">
      <c r="B638" s="29"/>
      <c r="D638" s="18"/>
    </row>
    <row r="639" spans="2:4" ht="15.75" customHeight="1">
      <c r="B639" s="29"/>
      <c r="D639" s="18"/>
    </row>
    <row r="640" spans="2:4" ht="15.75" customHeight="1">
      <c r="B640" s="29"/>
      <c r="D640" s="18"/>
    </row>
    <row r="641" spans="2:4" ht="15.75" customHeight="1">
      <c r="B641" s="29"/>
      <c r="D641" s="18"/>
    </row>
    <row r="642" spans="2:4" ht="15.75" customHeight="1">
      <c r="B642" s="29"/>
      <c r="D642" s="18"/>
    </row>
    <row r="643" spans="2:4" ht="15.75" customHeight="1">
      <c r="B643" s="29"/>
      <c r="D643" s="18"/>
    </row>
    <row r="644" spans="2:4" ht="15.75" customHeight="1">
      <c r="B644" s="29"/>
      <c r="D644" s="18"/>
    </row>
    <row r="645" spans="2:4" ht="15.75" customHeight="1">
      <c r="B645" s="29"/>
      <c r="D645" s="18"/>
    </row>
    <row r="646" spans="2:4" ht="15.75" customHeight="1">
      <c r="B646" s="29"/>
      <c r="D646" s="18"/>
    </row>
    <row r="647" spans="2:4" ht="15.75" customHeight="1">
      <c r="B647" s="29"/>
      <c r="D647" s="18"/>
    </row>
    <row r="648" spans="2:4" ht="15.75" customHeight="1">
      <c r="B648" s="29"/>
      <c r="D648" s="18"/>
    </row>
    <row r="649" spans="2:4" ht="15.75" customHeight="1">
      <c r="B649" s="29"/>
      <c r="D649" s="18"/>
    </row>
    <row r="650" spans="2:4" ht="15.75" customHeight="1">
      <c r="B650" s="29"/>
      <c r="D650" s="18"/>
    </row>
    <row r="651" spans="2:4" ht="15.75" customHeight="1">
      <c r="B651" s="29"/>
      <c r="D651" s="18"/>
    </row>
    <row r="652" spans="2:4" ht="15.75" customHeight="1">
      <c r="B652" s="29"/>
      <c r="D652" s="18"/>
    </row>
    <row r="653" spans="2:4" ht="15.75" customHeight="1">
      <c r="B653" s="29"/>
      <c r="D653" s="18"/>
    </row>
    <row r="654" spans="2:4" ht="15.75" customHeight="1">
      <c r="B654" s="29"/>
      <c r="D654" s="18"/>
    </row>
    <row r="655" spans="2:4" ht="15.75" customHeight="1">
      <c r="B655" s="29"/>
      <c r="D655" s="18"/>
    </row>
    <row r="656" spans="2:4" ht="15.75" customHeight="1">
      <c r="B656" s="29"/>
      <c r="D656" s="18"/>
    </row>
    <row r="657" spans="2:4" ht="15.75" customHeight="1">
      <c r="B657" s="29"/>
      <c r="D657" s="18"/>
    </row>
    <row r="658" spans="2:4" ht="15.75" customHeight="1">
      <c r="B658" s="29"/>
      <c r="D658" s="18"/>
    </row>
    <row r="659" spans="2:4" ht="15.75" customHeight="1">
      <c r="B659" s="29"/>
      <c r="D659" s="18"/>
    </row>
    <row r="660" spans="2:4" ht="15.75" customHeight="1">
      <c r="B660" s="29"/>
      <c r="D660" s="18"/>
    </row>
    <row r="661" spans="2:4" ht="15.75" customHeight="1">
      <c r="B661" s="29"/>
      <c r="D661" s="18"/>
    </row>
    <row r="662" spans="2:4" ht="15.75" customHeight="1">
      <c r="B662" s="29"/>
      <c r="D662" s="18"/>
    </row>
    <row r="663" spans="2:4" ht="15.75" customHeight="1">
      <c r="B663" s="29"/>
      <c r="D663" s="18"/>
    </row>
    <row r="664" spans="2:4" ht="15.75" customHeight="1">
      <c r="B664" s="29"/>
      <c r="D664" s="18"/>
    </row>
    <row r="665" spans="2:4" ht="15.75" customHeight="1">
      <c r="B665" s="29"/>
      <c r="D665" s="18"/>
    </row>
    <row r="666" spans="2:4" ht="15.75" customHeight="1">
      <c r="B666" s="29"/>
      <c r="D666" s="18"/>
    </row>
    <row r="667" spans="2:4" ht="15.75" customHeight="1">
      <c r="B667" s="29"/>
      <c r="D667" s="18"/>
    </row>
    <row r="668" spans="2:4" ht="15.75" customHeight="1">
      <c r="B668" s="29"/>
      <c r="D668" s="18"/>
    </row>
    <row r="669" spans="2:4" ht="15.75" customHeight="1">
      <c r="B669" s="29"/>
      <c r="D669" s="18"/>
    </row>
    <row r="670" spans="2:4" ht="15.75" customHeight="1">
      <c r="B670" s="29"/>
      <c r="D670" s="18"/>
    </row>
    <row r="671" spans="2:4" ht="15.75" customHeight="1">
      <c r="B671" s="29"/>
      <c r="D671" s="18"/>
    </row>
    <row r="672" spans="2:4" ht="15.75" customHeight="1">
      <c r="B672" s="29"/>
      <c r="D672" s="18"/>
    </row>
    <row r="673" spans="2:4" ht="15.75" customHeight="1">
      <c r="B673" s="29"/>
      <c r="D673" s="18"/>
    </row>
    <row r="674" spans="2:4" ht="15.75" customHeight="1">
      <c r="B674" s="29"/>
      <c r="D674" s="18"/>
    </row>
    <row r="675" spans="2:4" ht="15.75" customHeight="1">
      <c r="B675" s="29"/>
      <c r="D675" s="18"/>
    </row>
    <row r="676" spans="2:4" ht="15.75" customHeight="1">
      <c r="B676" s="29"/>
      <c r="D676" s="18"/>
    </row>
    <row r="677" spans="2:4" ht="15.75" customHeight="1">
      <c r="B677" s="29"/>
      <c r="D677" s="18"/>
    </row>
    <row r="678" spans="2:4" ht="15.75" customHeight="1">
      <c r="B678" s="29"/>
      <c r="D678" s="18"/>
    </row>
    <row r="679" spans="2:4" ht="15.75" customHeight="1">
      <c r="B679" s="29"/>
      <c r="D679" s="18"/>
    </row>
    <row r="680" spans="2:4" ht="15.75" customHeight="1">
      <c r="B680" s="29"/>
      <c r="D680" s="18"/>
    </row>
    <row r="681" spans="2:4" ht="15.75" customHeight="1">
      <c r="B681" s="29"/>
      <c r="D681" s="18"/>
    </row>
    <row r="682" spans="2:4" ht="15.75" customHeight="1">
      <c r="B682" s="29"/>
      <c r="D682" s="18"/>
    </row>
    <row r="683" spans="2:4" ht="15.75" customHeight="1">
      <c r="B683" s="29"/>
      <c r="D683" s="18"/>
    </row>
    <row r="684" spans="2:4" ht="15.75" customHeight="1">
      <c r="B684" s="29"/>
      <c r="D684" s="18"/>
    </row>
    <row r="685" spans="2:4" ht="15.75" customHeight="1">
      <c r="B685" s="29"/>
      <c r="D685" s="18"/>
    </row>
    <row r="686" spans="2:4" ht="15.75" customHeight="1">
      <c r="B686" s="29"/>
      <c r="D686" s="18"/>
    </row>
    <row r="687" spans="2:4" ht="15.75" customHeight="1">
      <c r="B687" s="29"/>
      <c r="D687" s="18"/>
    </row>
    <row r="688" spans="2:4" ht="15.75" customHeight="1">
      <c r="B688" s="29"/>
      <c r="D688" s="18"/>
    </row>
    <row r="689" spans="2:4" ht="15.75" customHeight="1">
      <c r="B689" s="29"/>
      <c r="D689" s="18"/>
    </row>
    <row r="690" spans="2:4" ht="15.75" customHeight="1">
      <c r="B690" s="29"/>
      <c r="D690" s="18"/>
    </row>
    <row r="691" spans="2:4" ht="15.75" customHeight="1">
      <c r="B691" s="29"/>
      <c r="D691" s="18"/>
    </row>
    <row r="692" spans="2:4" ht="15.75" customHeight="1">
      <c r="B692" s="29"/>
      <c r="D692" s="18"/>
    </row>
    <row r="693" spans="2:4" ht="15.75" customHeight="1">
      <c r="B693" s="29"/>
      <c r="D693" s="18"/>
    </row>
    <row r="694" spans="2:4" ht="15.75" customHeight="1">
      <c r="B694" s="29"/>
      <c r="D694" s="18"/>
    </row>
    <row r="695" spans="2:4" ht="15.75" customHeight="1">
      <c r="B695" s="29"/>
      <c r="D695" s="18"/>
    </row>
    <row r="696" spans="2:4" ht="15.75" customHeight="1">
      <c r="B696" s="29"/>
      <c r="D696" s="18"/>
    </row>
    <row r="697" spans="2:4" ht="15.75" customHeight="1">
      <c r="B697" s="29"/>
      <c r="D697" s="18"/>
    </row>
    <row r="698" spans="2:4" ht="15.75" customHeight="1">
      <c r="B698" s="29"/>
      <c r="D698" s="18"/>
    </row>
    <row r="699" spans="2:4" ht="15.75" customHeight="1">
      <c r="B699" s="29"/>
      <c r="D699" s="18"/>
    </row>
    <row r="700" spans="2:4" ht="15.75" customHeight="1">
      <c r="B700" s="29"/>
      <c r="D700" s="18"/>
    </row>
    <row r="701" spans="2:4" ht="15.75" customHeight="1">
      <c r="B701" s="29"/>
      <c r="D701" s="18"/>
    </row>
    <row r="702" spans="2:4" ht="15.75" customHeight="1">
      <c r="B702" s="29"/>
      <c r="D702" s="18"/>
    </row>
    <row r="703" spans="2:4" ht="15.75" customHeight="1">
      <c r="B703" s="29"/>
      <c r="D703" s="18"/>
    </row>
    <row r="704" spans="2:4" ht="15.75" customHeight="1">
      <c r="B704" s="29"/>
      <c r="D704" s="18"/>
    </row>
    <row r="705" spans="2:4" ht="15.75" customHeight="1">
      <c r="B705" s="29"/>
      <c r="D705" s="18"/>
    </row>
    <row r="706" spans="2:4" ht="15.75" customHeight="1">
      <c r="B706" s="29"/>
      <c r="D706" s="18"/>
    </row>
    <row r="707" spans="2:4" ht="15.75" customHeight="1">
      <c r="B707" s="29"/>
      <c r="D707" s="18"/>
    </row>
    <row r="708" spans="2:4" ht="15.75" customHeight="1">
      <c r="B708" s="29"/>
      <c r="D708" s="18"/>
    </row>
    <row r="709" spans="2:4" ht="15.75" customHeight="1">
      <c r="B709" s="29"/>
      <c r="D709" s="18"/>
    </row>
    <row r="710" spans="2:4" ht="15.75" customHeight="1">
      <c r="B710" s="29"/>
      <c r="D710" s="18"/>
    </row>
    <row r="711" spans="2:4" ht="15.75" customHeight="1">
      <c r="B711" s="29"/>
      <c r="D711" s="18"/>
    </row>
    <row r="712" spans="2:4" ht="15.75" customHeight="1">
      <c r="B712" s="29"/>
      <c r="D712" s="18"/>
    </row>
    <row r="713" spans="2:4" ht="15.75" customHeight="1">
      <c r="B713" s="29"/>
      <c r="D713" s="18"/>
    </row>
    <row r="714" spans="2:4" ht="15.75" customHeight="1">
      <c r="B714" s="29"/>
      <c r="D714" s="18"/>
    </row>
    <row r="715" spans="2:4" ht="15.75" customHeight="1">
      <c r="B715" s="29"/>
      <c r="D715" s="18"/>
    </row>
    <row r="716" spans="2:4" ht="15.75" customHeight="1">
      <c r="B716" s="29"/>
      <c r="D716" s="18"/>
    </row>
    <row r="717" spans="2:4" ht="15.75" customHeight="1">
      <c r="B717" s="29"/>
      <c r="D717" s="18"/>
    </row>
    <row r="718" spans="2:4" ht="15.75" customHeight="1">
      <c r="B718" s="29"/>
      <c r="D718" s="18"/>
    </row>
    <row r="719" spans="2:4" ht="15.75" customHeight="1">
      <c r="B719" s="29"/>
      <c r="D719" s="18"/>
    </row>
    <row r="720" spans="2:4" ht="15.75" customHeight="1">
      <c r="B720" s="29"/>
      <c r="D720" s="18"/>
    </row>
    <row r="721" spans="2:4" ht="15.75" customHeight="1">
      <c r="B721" s="29"/>
      <c r="D721" s="18"/>
    </row>
    <row r="722" spans="2:4" ht="15.75" customHeight="1">
      <c r="B722" s="29"/>
      <c r="D722" s="18"/>
    </row>
    <row r="723" spans="2:4" ht="15.75" customHeight="1">
      <c r="B723" s="29"/>
      <c r="D723" s="18"/>
    </row>
    <row r="724" spans="2:4" ht="15.75" customHeight="1">
      <c r="B724" s="29"/>
      <c r="D724" s="18"/>
    </row>
    <row r="725" spans="2:4" ht="15.75" customHeight="1">
      <c r="B725" s="29"/>
      <c r="D725" s="18"/>
    </row>
    <row r="726" spans="2:4" ht="15.75" customHeight="1">
      <c r="B726" s="29"/>
      <c r="D726" s="18"/>
    </row>
    <row r="727" spans="2:4" ht="15.75" customHeight="1">
      <c r="B727" s="29"/>
      <c r="D727" s="18"/>
    </row>
    <row r="728" spans="2:4" ht="15.75" customHeight="1">
      <c r="B728" s="29"/>
      <c r="D728" s="18"/>
    </row>
    <row r="729" spans="2:4" ht="15.75" customHeight="1">
      <c r="B729" s="29"/>
      <c r="D729" s="18"/>
    </row>
    <row r="730" spans="2:4" ht="15.75" customHeight="1">
      <c r="B730" s="29"/>
      <c r="D730" s="18"/>
    </row>
    <row r="731" spans="2:4" ht="15.75" customHeight="1">
      <c r="B731" s="29"/>
      <c r="D731" s="18"/>
    </row>
    <row r="732" spans="2:4" ht="15.75" customHeight="1">
      <c r="B732" s="29"/>
      <c r="D732" s="18"/>
    </row>
    <row r="733" spans="2:4" ht="15.75" customHeight="1">
      <c r="B733" s="29"/>
      <c r="D733" s="18"/>
    </row>
    <row r="734" spans="2:4" ht="15.75" customHeight="1">
      <c r="B734" s="29"/>
      <c r="D734" s="18"/>
    </row>
    <row r="735" spans="2:4" ht="15.75" customHeight="1">
      <c r="B735" s="29"/>
      <c r="D735" s="18"/>
    </row>
    <row r="736" spans="2:4" ht="15.75" customHeight="1">
      <c r="B736" s="29"/>
      <c r="D736" s="18"/>
    </row>
    <row r="737" spans="2:4" ht="15.75" customHeight="1">
      <c r="B737" s="29"/>
      <c r="D737" s="18"/>
    </row>
    <row r="738" spans="2:4" ht="15.75" customHeight="1">
      <c r="B738" s="29"/>
      <c r="D738" s="18"/>
    </row>
    <row r="739" spans="2:4" ht="15.75" customHeight="1">
      <c r="B739" s="29"/>
      <c r="D739" s="18"/>
    </row>
    <row r="740" spans="2:4" ht="15.75" customHeight="1">
      <c r="B740" s="29"/>
      <c r="D740" s="18"/>
    </row>
    <row r="741" spans="2:4" ht="15.75" customHeight="1">
      <c r="B741" s="29"/>
      <c r="D741" s="18"/>
    </row>
    <row r="742" spans="2:4" ht="15.75" customHeight="1">
      <c r="B742" s="29"/>
      <c r="D742" s="18"/>
    </row>
    <row r="743" spans="2:4" ht="15.75" customHeight="1">
      <c r="B743" s="29"/>
      <c r="D743" s="18"/>
    </row>
    <row r="744" spans="2:4" ht="15.75" customHeight="1">
      <c r="B744" s="29"/>
      <c r="D744" s="18"/>
    </row>
    <row r="745" spans="2:4" ht="15.75" customHeight="1">
      <c r="B745" s="29"/>
      <c r="D745" s="18"/>
    </row>
    <row r="746" spans="2:4" ht="15.75" customHeight="1">
      <c r="B746" s="29"/>
      <c r="D746" s="18"/>
    </row>
    <row r="747" spans="2:4" ht="15.75" customHeight="1">
      <c r="B747" s="29"/>
      <c r="D747" s="18"/>
    </row>
    <row r="748" spans="2:4" ht="15.75" customHeight="1">
      <c r="B748" s="29"/>
      <c r="D748" s="18"/>
    </row>
    <row r="749" spans="2:4" ht="15.75" customHeight="1">
      <c r="B749" s="29"/>
      <c r="D749" s="18"/>
    </row>
    <row r="750" spans="2:4" ht="15.75" customHeight="1">
      <c r="B750" s="29"/>
      <c r="D750" s="18"/>
    </row>
    <row r="751" spans="2:4" ht="15.75" customHeight="1">
      <c r="B751" s="29"/>
      <c r="D751" s="18"/>
    </row>
    <row r="752" spans="2:4" ht="15.75" customHeight="1">
      <c r="B752" s="29"/>
      <c r="D752" s="18"/>
    </row>
    <row r="753" spans="2:4" ht="15.75" customHeight="1">
      <c r="B753" s="29"/>
      <c r="D753" s="18"/>
    </row>
    <row r="754" spans="2:4" ht="15.75" customHeight="1">
      <c r="B754" s="29"/>
      <c r="D754" s="18"/>
    </row>
    <row r="755" spans="2:4" ht="15.75" customHeight="1">
      <c r="B755" s="29"/>
      <c r="D755" s="18"/>
    </row>
    <row r="756" spans="2:4" ht="15.75" customHeight="1">
      <c r="B756" s="29"/>
      <c r="D756" s="18"/>
    </row>
    <row r="757" spans="2:4" ht="15.75" customHeight="1">
      <c r="B757" s="29"/>
      <c r="D757" s="18"/>
    </row>
    <row r="758" spans="2:4" ht="15.75" customHeight="1">
      <c r="B758" s="29"/>
      <c r="D758" s="18"/>
    </row>
    <row r="759" spans="2:4" ht="15.75" customHeight="1">
      <c r="B759" s="29"/>
      <c r="D759" s="18"/>
    </row>
    <row r="760" spans="2:4" ht="15.75" customHeight="1">
      <c r="B760" s="29"/>
      <c r="D760" s="18"/>
    </row>
    <row r="761" spans="2:4" ht="15.75" customHeight="1">
      <c r="B761" s="29"/>
      <c r="D761" s="18"/>
    </row>
    <row r="762" spans="2:4" ht="15.75" customHeight="1">
      <c r="B762" s="29"/>
      <c r="D762" s="18"/>
    </row>
    <row r="763" spans="2:4" ht="15.75" customHeight="1">
      <c r="B763" s="29"/>
      <c r="D763" s="18"/>
    </row>
    <row r="764" spans="2:4" ht="15.75" customHeight="1">
      <c r="B764" s="29"/>
      <c r="D764" s="18"/>
    </row>
    <row r="765" spans="2:4" ht="15.75" customHeight="1">
      <c r="B765" s="29"/>
      <c r="D765" s="18"/>
    </row>
    <row r="766" spans="2:4" ht="15.75" customHeight="1">
      <c r="B766" s="29"/>
      <c r="D766" s="18"/>
    </row>
    <row r="767" spans="2:4" ht="15.75" customHeight="1">
      <c r="B767" s="29"/>
      <c r="D767" s="18"/>
    </row>
    <row r="768" spans="2:4" ht="15.75" customHeight="1">
      <c r="B768" s="29"/>
      <c r="D768" s="18"/>
    </row>
    <row r="769" spans="2:4" ht="15.75" customHeight="1">
      <c r="B769" s="29"/>
      <c r="D769" s="18"/>
    </row>
    <row r="770" spans="2:4" ht="15.75" customHeight="1">
      <c r="B770" s="29"/>
      <c r="D770" s="18"/>
    </row>
    <row r="771" spans="2:4" ht="15.75" customHeight="1">
      <c r="B771" s="29"/>
      <c r="D771" s="18"/>
    </row>
    <row r="772" spans="2:4" ht="15.75" customHeight="1">
      <c r="B772" s="29"/>
      <c r="D772" s="18"/>
    </row>
    <row r="773" spans="2:4" ht="15.75" customHeight="1">
      <c r="B773" s="29"/>
      <c r="D773" s="18"/>
    </row>
    <row r="774" spans="2:4" ht="15.75" customHeight="1">
      <c r="B774" s="29"/>
      <c r="D774" s="18"/>
    </row>
    <row r="775" spans="2:4" ht="15.75" customHeight="1">
      <c r="B775" s="29"/>
      <c r="D775" s="18"/>
    </row>
    <row r="776" spans="2:4" ht="15.75" customHeight="1">
      <c r="B776" s="29"/>
      <c r="D776" s="18"/>
    </row>
    <row r="777" spans="2:4" ht="15.75" customHeight="1">
      <c r="B777" s="29"/>
      <c r="D777" s="18"/>
    </row>
    <row r="778" spans="2:4" ht="15.75" customHeight="1">
      <c r="B778" s="29"/>
      <c r="D778" s="18"/>
    </row>
    <row r="779" spans="2:4" ht="15.75" customHeight="1">
      <c r="B779" s="29"/>
      <c r="D779" s="18"/>
    </row>
    <row r="780" spans="2:4" ht="15.75" customHeight="1">
      <c r="B780" s="29"/>
      <c r="D780" s="18"/>
    </row>
    <row r="781" spans="2:4" ht="15.75" customHeight="1">
      <c r="B781" s="29"/>
      <c r="D781" s="18"/>
    </row>
    <row r="782" spans="2:4" ht="15.75" customHeight="1">
      <c r="B782" s="29"/>
      <c r="D782" s="18"/>
    </row>
    <row r="783" spans="2:4" ht="15.75" customHeight="1">
      <c r="B783" s="29"/>
      <c r="D783" s="18"/>
    </row>
    <row r="784" spans="2:4" ht="15.75" customHeight="1">
      <c r="B784" s="29"/>
      <c r="D784" s="18"/>
    </row>
    <row r="785" spans="2:4" ht="15.75" customHeight="1">
      <c r="B785" s="29"/>
      <c r="D785" s="18"/>
    </row>
    <row r="786" spans="2:4" ht="15.75" customHeight="1">
      <c r="B786" s="29"/>
      <c r="D786" s="18"/>
    </row>
    <row r="787" spans="2:4" ht="15.75" customHeight="1">
      <c r="B787" s="29"/>
      <c r="D787" s="18"/>
    </row>
    <row r="788" spans="2:4" ht="15.75" customHeight="1">
      <c r="B788" s="29"/>
      <c r="D788" s="18"/>
    </row>
    <row r="789" spans="2:4" ht="15.75" customHeight="1">
      <c r="B789" s="29"/>
      <c r="D789" s="18"/>
    </row>
    <row r="790" spans="2:4" ht="15.75" customHeight="1">
      <c r="B790" s="29"/>
      <c r="D790" s="18"/>
    </row>
    <row r="791" spans="2:4" ht="15.75" customHeight="1">
      <c r="B791" s="29"/>
      <c r="D791" s="18"/>
    </row>
    <row r="792" spans="2:4" ht="15.75" customHeight="1">
      <c r="B792" s="29"/>
      <c r="D792" s="18"/>
    </row>
    <row r="793" spans="2:4" ht="15.75" customHeight="1">
      <c r="B793" s="29"/>
      <c r="D793" s="18"/>
    </row>
    <row r="794" spans="2:4" ht="15.75" customHeight="1">
      <c r="B794" s="29"/>
      <c r="D794" s="18"/>
    </row>
    <row r="795" spans="2:4" ht="15.75" customHeight="1">
      <c r="B795" s="29"/>
      <c r="D795" s="18"/>
    </row>
    <row r="796" spans="2:4" ht="15.75" customHeight="1">
      <c r="B796" s="29"/>
      <c r="D796" s="18"/>
    </row>
    <row r="797" spans="2:4" ht="15.75" customHeight="1">
      <c r="B797" s="29"/>
      <c r="D797" s="18"/>
    </row>
    <row r="798" spans="2:4" ht="15.75" customHeight="1">
      <c r="B798" s="29"/>
      <c r="D798" s="18"/>
    </row>
    <row r="799" spans="2:4" ht="15.75" customHeight="1">
      <c r="B799" s="29"/>
      <c r="D799" s="18"/>
    </row>
    <row r="800" spans="2:4" ht="15.75" customHeight="1">
      <c r="B800" s="29"/>
      <c r="D800" s="18"/>
    </row>
    <row r="801" spans="2:4" ht="15.75" customHeight="1">
      <c r="B801" s="29"/>
      <c r="D801" s="18"/>
    </row>
    <row r="802" spans="2:4" ht="15.75" customHeight="1">
      <c r="B802" s="29"/>
      <c r="D802" s="18"/>
    </row>
    <row r="803" spans="2:4" ht="15.75" customHeight="1">
      <c r="B803" s="29"/>
      <c r="D803" s="18"/>
    </row>
    <row r="804" spans="2:4" ht="15.75" customHeight="1">
      <c r="B804" s="29"/>
      <c r="D804" s="18"/>
    </row>
    <row r="805" spans="2:4" ht="15.75" customHeight="1">
      <c r="B805" s="29"/>
      <c r="D805" s="18"/>
    </row>
    <row r="806" spans="2:4" ht="15.75" customHeight="1">
      <c r="B806" s="29"/>
      <c r="D806" s="18"/>
    </row>
    <row r="807" spans="2:4" ht="15.75" customHeight="1">
      <c r="B807" s="29"/>
      <c r="D807" s="18"/>
    </row>
    <row r="808" spans="2:4" ht="15.75" customHeight="1">
      <c r="B808" s="29"/>
      <c r="D808" s="18"/>
    </row>
    <row r="809" spans="2:4" ht="15.75" customHeight="1">
      <c r="B809" s="29"/>
      <c r="D809" s="18"/>
    </row>
    <row r="810" spans="2:4" ht="15.75" customHeight="1">
      <c r="B810" s="29"/>
      <c r="D810" s="18"/>
    </row>
    <row r="811" spans="2:4" ht="15.75" customHeight="1">
      <c r="B811" s="29"/>
      <c r="D811" s="18"/>
    </row>
    <row r="812" spans="2:4" ht="15.75" customHeight="1">
      <c r="B812" s="29"/>
      <c r="D812" s="18"/>
    </row>
    <row r="813" spans="2:4" ht="15.75" customHeight="1">
      <c r="B813" s="29"/>
      <c r="D813" s="18"/>
    </row>
    <row r="814" spans="2:4" ht="15.75" customHeight="1">
      <c r="B814" s="29"/>
      <c r="D814" s="18"/>
    </row>
    <row r="815" spans="2:4" ht="15.75" customHeight="1">
      <c r="B815" s="29"/>
      <c r="D815" s="18"/>
    </row>
    <row r="816" spans="2:4" ht="15.75" customHeight="1">
      <c r="B816" s="29"/>
      <c r="D816" s="18"/>
    </row>
    <row r="817" spans="2:4" ht="15.75" customHeight="1">
      <c r="B817" s="29"/>
      <c r="D817" s="18"/>
    </row>
    <row r="818" spans="2:4" ht="15.75" customHeight="1">
      <c r="B818" s="29"/>
      <c r="D818" s="18"/>
    </row>
    <row r="819" spans="2:4" ht="15.75" customHeight="1">
      <c r="B819" s="29"/>
      <c r="D819" s="18"/>
    </row>
    <row r="820" spans="2:4" ht="15.75" customHeight="1">
      <c r="B820" s="29"/>
      <c r="D820" s="18"/>
    </row>
    <row r="821" spans="2:4" ht="15.75" customHeight="1">
      <c r="B821" s="29"/>
      <c r="D821" s="18"/>
    </row>
    <row r="822" spans="2:4" ht="15.75" customHeight="1">
      <c r="B822" s="29"/>
      <c r="D822" s="18"/>
    </row>
    <row r="823" spans="2:4" ht="15.75" customHeight="1">
      <c r="B823" s="29"/>
      <c r="D823" s="18"/>
    </row>
    <row r="824" spans="2:4" ht="15.75" customHeight="1">
      <c r="B824" s="29"/>
      <c r="D824" s="18"/>
    </row>
    <row r="825" spans="2:4" ht="15.75" customHeight="1">
      <c r="B825" s="29"/>
      <c r="D825" s="18"/>
    </row>
    <row r="826" spans="2:4" ht="15.75" customHeight="1">
      <c r="B826" s="29"/>
      <c r="D826" s="18"/>
    </row>
    <row r="827" spans="2:4" ht="15.75" customHeight="1">
      <c r="B827" s="29"/>
      <c r="D827" s="18"/>
    </row>
    <row r="828" spans="2:4" ht="15.75" customHeight="1">
      <c r="B828" s="29"/>
      <c r="D828" s="18"/>
    </row>
    <row r="829" spans="2:4" ht="15.75" customHeight="1">
      <c r="B829" s="29"/>
      <c r="D829" s="18"/>
    </row>
    <row r="830" spans="2:4" ht="15.75" customHeight="1">
      <c r="B830" s="29"/>
      <c r="D830" s="18"/>
    </row>
    <row r="831" spans="2:4" ht="15.75" customHeight="1">
      <c r="B831" s="29"/>
      <c r="D831" s="18"/>
    </row>
    <row r="832" spans="2:4" ht="15.75" customHeight="1">
      <c r="B832" s="29"/>
      <c r="D832" s="18"/>
    </row>
    <row r="833" spans="2:4" ht="15.75" customHeight="1">
      <c r="B833" s="29"/>
      <c r="D833" s="18"/>
    </row>
    <row r="834" spans="2:4" ht="15.75" customHeight="1">
      <c r="B834" s="29"/>
      <c r="D834" s="18"/>
    </row>
    <row r="835" spans="2:4" ht="15.75" customHeight="1">
      <c r="B835" s="29"/>
      <c r="D835" s="18"/>
    </row>
    <row r="836" spans="2:4" ht="15.75" customHeight="1">
      <c r="B836" s="29"/>
      <c r="D836" s="18"/>
    </row>
    <row r="837" spans="2:4" ht="15.75" customHeight="1">
      <c r="B837" s="29"/>
      <c r="D837" s="18"/>
    </row>
    <row r="838" spans="2:4" ht="15.75" customHeight="1">
      <c r="B838" s="29"/>
      <c r="D838" s="18"/>
    </row>
    <row r="839" spans="2:4" ht="15.75" customHeight="1">
      <c r="B839" s="29"/>
      <c r="D839" s="18"/>
    </row>
    <row r="840" spans="2:4" ht="15.75" customHeight="1">
      <c r="B840" s="29"/>
      <c r="D840" s="18"/>
    </row>
    <row r="841" spans="2:4" ht="15.75" customHeight="1">
      <c r="B841" s="29"/>
      <c r="D841" s="18"/>
    </row>
    <row r="842" spans="2:4" ht="15.75" customHeight="1">
      <c r="B842" s="29"/>
      <c r="D842" s="18"/>
    </row>
    <row r="843" spans="2:4" ht="15.75" customHeight="1">
      <c r="B843" s="29"/>
      <c r="D843" s="18"/>
    </row>
    <row r="844" spans="2:4" ht="15.75" customHeight="1">
      <c r="B844" s="29"/>
      <c r="D844" s="18"/>
    </row>
    <row r="845" spans="2:4" ht="15.75" customHeight="1">
      <c r="B845" s="29"/>
      <c r="D845" s="18"/>
    </row>
    <row r="846" spans="2:4" ht="15.75" customHeight="1">
      <c r="B846" s="29"/>
      <c r="D846" s="18"/>
    </row>
    <row r="847" spans="2:4" ht="15.75" customHeight="1">
      <c r="B847" s="29"/>
      <c r="D847" s="18"/>
    </row>
    <row r="848" spans="2:4" ht="15.75" customHeight="1">
      <c r="B848" s="29"/>
      <c r="D848" s="18"/>
    </row>
    <row r="849" spans="2:4" ht="15.75" customHeight="1">
      <c r="B849" s="29"/>
      <c r="D849" s="18"/>
    </row>
    <row r="850" spans="2:4" ht="15.75" customHeight="1">
      <c r="B850" s="29"/>
      <c r="D850" s="18"/>
    </row>
    <row r="851" spans="2:4" ht="15.75" customHeight="1">
      <c r="B851" s="29"/>
      <c r="D851" s="18"/>
    </row>
    <row r="852" spans="2:4" ht="15.75" customHeight="1">
      <c r="B852" s="29"/>
      <c r="D852" s="18"/>
    </row>
    <row r="853" spans="2:4" ht="15.75" customHeight="1">
      <c r="B853" s="29"/>
      <c r="D853" s="18"/>
    </row>
    <row r="854" spans="2:4" ht="15.75" customHeight="1">
      <c r="B854" s="29"/>
      <c r="D854" s="18"/>
    </row>
    <row r="855" spans="2:4" ht="15.75" customHeight="1">
      <c r="B855" s="29"/>
      <c r="D855" s="18"/>
    </row>
    <row r="856" spans="2:4" ht="15.75" customHeight="1">
      <c r="B856" s="29"/>
      <c r="D856" s="18"/>
    </row>
    <row r="857" spans="2:4" ht="15.75" customHeight="1">
      <c r="B857" s="29"/>
      <c r="D857" s="18"/>
    </row>
    <row r="858" spans="2:4" ht="15.75" customHeight="1">
      <c r="B858" s="29"/>
      <c r="D858" s="18"/>
    </row>
    <row r="859" spans="2:4" ht="15.75" customHeight="1">
      <c r="B859" s="29"/>
      <c r="D859" s="18"/>
    </row>
    <row r="860" spans="2:4" ht="15.75" customHeight="1">
      <c r="B860" s="29"/>
      <c r="D860" s="18"/>
    </row>
    <row r="861" spans="2:4" ht="15.75" customHeight="1">
      <c r="B861" s="29"/>
      <c r="D861" s="18"/>
    </row>
    <row r="862" spans="2:4" ht="15.75" customHeight="1">
      <c r="B862" s="29"/>
      <c r="D862" s="18"/>
    </row>
    <row r="863" spans="2:4" ht="15.75" customHeight="1">
      <c r="B863" s="29"/>
      <c r="D863" s="18"/>
    </row>
    <row r="864" spans="2:4" ht="15.75" customHeight="1">
      <c r="B864" s="29"/>
      <c r="D864" s="18"/>
    </row>
    <row r="865" spans="2:4" ht="15.75" customHeight="1">
      <c r="B865" s="29"/>
      <c r="D865" s="18"/>
    </row>
    <row r="866" spans="2:4" ht="15.75" customHeight="1">
      <c r="B866" s="29"/>
      <c r="D866" s="18"/>
    </row>
    <row r="867" spans="2:4" ht="15.75" customHeight="1">
      <c r="B867" s="29"/>
      <c r="D867" s="18"/>
    </row>
    <row r="868" spans="2:4" ht="15.75" customHeight="1">
      <c r="B868" s="29"/>
      <c r="D868" s="18"/>
    </row>
    <row r="869" spans="2:4" ht="15.75" customHeight="1">
      <c r="B869" s="29"/>
      <c r="D869" s="18"/>
    </row>
    <row r="870" spans="2:4" ht="15.75" customHeight="1">
      <c r="B870" s="29"/>
      <c r="D870" s="18"/>
    </row>
    <row r="871" spans="2:4" ht="15.75" customHeight="1">
      <c r="B871" s="29"/>
      <c r="D871" s="18"/>
    </row>
    <row r="872" spans="2:4" ht="15.75" customHeight="1">
      <c r="B872" s="29"/>
      <c r="D872" s="18"/>
    </row>
    <row r="873" spans="2:4" ht="15.75" customHeight="1">
      <c r="B873" s="29"/>
      <c r="D873" s="18"/>
    </row>
    <row r="874" spans="2:4" ht="15.75" customHeight="1">
      <c r="B874" s="29"/>
      <c r="D874" s="18"/>
    </row>
    <row r="875" spans="2:4" ht="15.75" customHeight="1">
      <c r="B875" s="29"/>
      <c r="D875" s="18"/>
    </row>
    <row r="876" spans="2:4" ht="15.75" customHeight="1">
      <c r="B876" s="29"/>
      <c r="D876" s="18"/>
    </row>
    <row r="877" spans="2:4" ht="15.75" customHeight="1">
      <c r="B877" s="29"/>
      <c r="D877" s="18"/>
    </row>
    <row r="878" spans="2:4" ht="15.75" customHeight="1">
      <c r="B878" s="29"/>
      <c r="D878" s="18"/>
    </row>
    <row r="879" spans="2:4" ht="15.75" customHeight="1">
      <c r="B879" s="29"/>
      <c r="D879" s="18"/>
    </row>
    <row r="880" spans="2:4" ht="15.75" customHeight="1">
      <c r="B880" s="29"/>
      <c r="D880" s="18"/>
    </row>
    <row r="881" spans="2:4" ht="15.75" customHeight="1">
      <c r="B881" s="29"/>
      <c r="D881" s="18"/>
    </row>
    <row r="882" spans="2:4" ht="15.75" customHeight="1">
      <c r="B882" s="29"/>
      <c r="D882" s="18"/>
    </row>
    <row r="883" spans="2:4" ht="15.75" customHeight="1">
      <c r="B883" s="29"/>
      <c r="D883" s="18"/>
    </row>
    <row r="884" spans="2:4" ht="15.75" customHeight="1">
      <c r="B884" s="29"/>
      <c r="D884" s="18"/>
    </row>
    <row r="885" spans="2:4" ht="15.75" customHeight="1">
      <c r="B885" s="29"/>
      <c r="D885" s="18"/>
    </row>
    <row r="886" spans="2:4" ht="15.75" customHeight="1">
      <c r="B886" s="29"/>
      <c r="D886" s="18"/>
    </row>
    <row r="887" spans="2:4" ht="15.75" customHeight="1">
      <c r="B887" s="29"/>
      <c r="D887" s="18"/>
    </row>
    <row r="888" spans="2:4" ht="15.75" customHeight="1">
      <c r="B888" s="29"/>
      <c r="D888" s="18"/>
    </row>
    <row r="889" spans="2:4" ht="15.75" customHeight="1">
      <c r="B889" s="29"/>
      <c r="D889" s="18"/>
    </row>
    <row r="890" spans="2:4" ht="15.75" customHeight="1">
      <c r="B890" s="29"/>
      <c r="D890" s="18"/>
    </row>
    <row r="891" spans="2:4" ht="15.75" customHeight="1">
      <c r="B891" s="29"/>
      <c r="D891" s="18"/>
    </row>
    <row r="892" spans="2:4" ht="15.75" customHeight="1">
      <c r="B892" s="29"/>
      <c r="D892" s="18"/>
    </row>
    <row r="893" spans="2:4" ht="15.75" customHeight="1">
      <c r="B893" s="29"/>
      <c r="D893" s="18"/>
    </row>
    <row r="894" spans="2:4" ht="15.75" customHeight="1">
      <c r="B894" s="29"/>
      <c r="D894" s="18"/>
    </row>
    <row r="895" spans="2:4" ht="15.75" customHeight="1">
      <c r="B895" s="29"/>
      <c r="D895" s="18"/>
    </row>
    <row r="896" spans="2:4" ht="15.75" customHeight="1">
      <c r="B896" s="29"/>
      <c r="D896" s="18"/>
    </row>
    <row r="897" spans="2:4" ht="15.75" customHeight="1">
      <c r="B897" s="29"/>
      <c r="D897" s="18"/>
    </row>
    <row r="898" spans="2:4" ht="15.75" customHeight="1">
      <c r="B898" s="29"/>
      <c r="D898" s="18"/>
    </row>
    <row r="899" spans="2:4" ht="15.75" customHeight="1">
      <c r="B899" s="29"/>
      <c r="D899" s="18"/>
    </row>
    <row r="900" spans="2:4" ht="15.75" customHeight="1">
      <c r="B900" s="29"/>
      <c r="D900" s="18"/>
    </row>
    <row r="901" spans="2:4" ht="15.75" customHeight="1">
      <c r="B901" s="29"/>
      <c r="D901" s="18"/>
    </row>
    <row r="902" spans="2:4" ht="15.75" customHeight="1">
      <c r="B902" s="29"/>
      <c r="D902" s="18"/>
    </row>
    <row r="903" spans="2:4" ht="15.75" customHeight="1">
      <c r="B903" s="29"/>
      <c r="D903" s="18"/>
    </row>
    <row r="904" spans="2:4" ht="15.75" customHeight="1">
      <c r="B904" s="29"/>
      <c r="D904" s="18"/>
    </row>
    <row r="905" spans="2:4" ht="15.75" customHeight="1">
      <c r="B905" s="29"/>
      <c r="D905" s="18"/>
    </row>
    <row r="906" spans="2:4" ht="15.75" customHeight="1">
      <c r="B906" s="29"/>
      <c r="D906" s="18"/>
    </row>
    <row r="907" spans="2:4" ht="15.75" customHeight="1">
      <c r="B907" s="29"/>
      <c r="D907" s="18"/>
    </row>
    <row r="908" spans="2:4" ht="15.75" customHeight="1">
      <c r="B908" s="29"/>
      <c r="D908" s="18"/>
    </row>
    <row r="909" spans="2:4" ht="15.75" customHeight="1">
      <c r="B909" s="29"/>
      <c r="D909" s="18"/>
    </row>
    <row r="910" spans="2:4" ht="15.75" customHeight="1">
      <c r="B910" s="29"/>
      <c r="D910" s="18"/>
    </row>
    <row r="911" spans="2:4" ht="15.75" customHeight="1">
      <c r="B911" s="29"/>
      <c r="D911" s="18"/>
    </row>
    <row r="912" spans="2:4" ht="15.75" customHeight="1">
      <c r="B912" s="29"/>
      <c r="D912" s="18"/>
    </row>
    <row r="913" spans="2:4" ht="15.75" customHeight="1">
      <c r="B913" s="29"/>
      <c r="D913" s="18"/>
    </row>
    <row r="914" spans="2:4" ht="15.75" customHeight="1">
      <c r="B914" s="29"/>
      <c r="D914" s="18"/>
    </row>
    <row r="915" spans="2:4" ht="15.75" customHeight="1">
      <c r="B915" s="29"/>
      <c r="D915" s="18"/>
    </row>
    <row r="916" spans="2:4" ht="15.75" customHeight="1">
      <c r="B916" s="29"/>
      <c r="D916" s="18"/>
    </row>
    <row r="917" spans="2:4" ht="15.75" customHeight="1">
      <c r="B917" s="29"/>
      <c r="D917" s="18"/>
    </row>
    <row r="918" spans="2:4" ht="15.75" customHeight="1">
      <c r="B918" s="29"/>
      <c r="D918" s="18"/>
    </row>
    <row r="919" spans="2:4" ht="15.75" customHeight="1">
      <c r="B919" s="29"/>
      <c r="D919" s="18"/>
    </row>
    <row r="920" spans="2:4" ht="15.75" customHeight="1">
      <c r="B920" s="29"/>
      <c r="D920" s="18"/>
    </row>
    <row r="921" spans="2:4" ht="15.75" customHeight="1">
      <c r="B921" s="29"/>
      <c r="D921" s="18"/>
    </row>
    <row r="922" spans="2:4" ht="15.75" customHeight="1">
      <c r="B922" s="29"/>
      <c r="D922" s="18"/>
    </row>
    <row r="923" spans="2:4" ht="15.75" customHeight="1">
      <c r="B923" s="29"/>
      <c r="D923" s="18"/>
    </row>
    <row r="924" spans="2:4" ht="15.75" customHeight="1">
      <c r="B924" s="29"/>
      <c r="D924" s="18"/>
    </row>
    <row r="925" spans="2:4" ht="15.75" customHeight="1">
      <c r="B925" s="29"/>
      <c r="D925" s="18"/>
    </row>
    <row r="926" spans="2:4" ht="15.75" customHeight="1">
      <c r="B926" s="29"/>
      <c r="D926" s="18"/>
    </row>
    <row r="927" spans="2:4" ht="15.75" customHeight="1">
      <c r="B927" s="29"/>
      <c r="D927" s="18"/>
    </row>
    <row r="928" spans="2:4" ht="15.75" customHeight="1">
      <c r="B928" s="29"/>
      <c r="D928" s="18"/>
    </row>
    <row r="929" spans="2:4" ht="15.75" customHeight="1">
      <c r="B929" s="29"/>
      <c r="D929" s="18"/>
    </row>
    <row r="930" spans="2:4" ht="15.75" customHeight="1">
      <c r="B930" s="29"/>
      <c r="D930" s="18"/>
    </row>
    <row r="931" spans="2:4" ht="15.75" customHeight="1">
      <c r="B931" s="29"/>
      <c r="D931" s="18"/>
    </row>
    <row r="932" spans="2:4" ht="15.75" customHeight="1">
      <c r="B932" s="29"/>
      <c r="D932" s="18"/>
    </row>
    <row r="933" spans="2:4" ht="15.75" customHeight="1">
      <c r="B933" s="29"/>
      <c r="D933" s="18"/>
    </row>
    <row r="934" spans="2:4" ht="15.75" customHeight="1">
      <c r="B934" s="29"/>
      <c r="D934" s="18"/>
    </row>
    <row r="935" spans="2:4" ht="15.75" customHeight="1">
      <c r="B935" s="29"/>
      <c r="D935" s="18"/>
    </row>
    <row r="936" spans="2:4" ht="15.75" customHeight="1">
      <c r="B936" s="29"/>
      <c r="D936" s="18"/>
    </row>
    <row r="937" spans="2:4" ht="15.75" customHeight="1">
      <c r="B937" s="29"/>
      <c r="D937" s="18"/>
    </row>
    <row r="938" spans="2:4" ht="15.75" customHeight="1">
      <c r="B938" s="29"/>
      <c r="D938" s="18"/>
    </row>
    <row r="939" spans="2:4" ht="15.75" customHeight="1">
      <c r="B939" s="29"/>
      <c r="D939" s="18"/>
    </row>
    <row r="940" spans="2:4" ht="15.75" customHeight="1">
      <c r="B940" s="29"/>
      <c r="D940" s="18"/>
    </row>
    <row r="941" spans="2:4" ht="15.75" customHeight="1">
      <c r="B941" s="29"/>
      <c r="D941" s="18"/>
    </row>
    <row r="942" spans="2:4" ht="15.75" customHeight="1">
      <c r="B942" s="29"/>
      <c r="D942" s="18"/>
    </row>
    <row r="943" spans="2:4" ht="15.75" customHeight="1">
      <c r="B943" s="29"/>
      <c r="D943" s="18"/>
    </row>
    <row r="944" spans="2:4" ht="15.75" customHeight="1">
      <c r="B944" s="29"/>
      <c r="D944" s="18"/>
    </row>
    <row r="945" spans="2:4" ht="15.75" customHeight="1">
      <c r="B945" s="29"/>
      <c r="D945" s="18"/>
    </row>
    <row r="946" spans="2:4" ht="15.75" customHeight="1">
      <c r="B946" s="29"/>
      <c r="D946" s="18"/>
    </row>
    <row r="947" spans="2:4" ht="15.75" customHeight="1">
      <c r="B947" s="29"/>
      <c r="D947" s="18"/>
    </row>
    <row r="948" spans="2:4" ht="15.75" customHeight="1">
      <c r="B948" s="29"/>
      <c r="D948" s="18"/>
    </row>
    <row r="949" spans="2:4" ht="15.75" customHeight="1">
      <c r="B949" s="29"/>
      <c r="D949" s="18"/>
    </row>
    <row r="950" spans="2:4" ht="15.75" customHeight="1">
      <c r="B950" s="29"/>
      <c r="D950" s="18"/>
    </row>
    <row r="951" spans="2:4" ht="15.75" customHeight="1">
      <c r="B951" s="29"/>
      <c r="D951" s="18"/>
    </row>
    <row r="952" spans="2:4" ht="15.75" customHeight="1">
      <c r="B952" s="29"/>
      <c r="D952" s="18"/>
    </row>
    <row r="953" spans="2:4" ht="15.75" customHeight="1">
      <c r="B953" s="29"/>
      <c r="D953" s="18"/>
    </row>
    <row r="954" spans="2:4" ht="15.75" customHeight="1">
      <c r="B954" s="29"/>
      <c r="D954" s="18"/>
    </row>
    <row r="955" spans="2:4" ht="15.75" customHeight="1">
      <c r="B955" s="29"/>
      <c r="D955" s="18"/>
    </row>
    <row r="956" spans="2:4" ht="15.75" customHeight="1">
      <c r="B956" s="29"/>
      <c r="D956" s="18"/>
    </row>
    <row r="957" spans="2:4" ht="15.75" customHeight="1">
      <c r="B957" s="29"/>
      <c r="D957" s="18"/>
    </row>
    <row r="958" spans="2:4" ht="15.75" customHeight="1">
      <c r="B958" s="29"/>
      <c r="D958" s="18"/>
    </row>
    <row r="959" spans="2:4" ht="15.75" customHeight="1">
      <c r="B959" s="29"/>
      <c r="D959" s="18"/>
    </row>
    <row r="960" spans="2:4" ht="15.75" customHeight="1">
      <c r="B960" s="29"/>
      <c r="D960" s="18"/>
    </row>
    <row r="961" spans="2:4" ht="15.75" customHeight="1">
      <c r="B961" s="29"/>
      <c r="D961" s="18"/>
    </row>
    <row r="962" spans="2:4" ht="15.75" customHeight="1">
      <c r="B962" s="29"/>
      <c r="D962" s="18"/>
    </row>
    <row r="963" spans="2:4" ht="15.75" customHeight="1">
      <c r="B963" s="29"/>
      <c r="D963" s="18"/>
    </row>
    <row r="964" spans="2:4" ht="15.75" customHeight="1">
      <c r="B964" s="29"/>
      <c r="D964" s="18"/>
    </row>
    <row r="965" spans="2:4" ht="15.75" customHeight="1">
      <c r="B965" s="29"/>
      <c r="D965" s="18"/>
    </row>
    <row r="966" spans="2:4" ht="15.75" customHeight="1">
      <c r="B966" s="29"/>
      <c r="D966" s="18"/>
    </row>
    <row r="967" spans="2:4" ht="15.75" customHeight="1">
      <c r="B967" s="29"/>
      <c r="D967" s="18"/>
    </row>
    <row r="968" spans="2:4" ht="15.75" customHeight="1">
      <c r="B968" s="29"/>
      <c r="D968" s="18"/>
    </row>
    <row r="969" spans="2:4" ht="15.75" customHeight="1">
      <c r="B969" s="29"/>
      <c r="D969" s="18"/>
    </row>
    <row r="970" spans="2:4" ht="15.75" customHeight="1">
      <c r="B970" s="29"/>
      <c r="D970" s="18"/>
    </row>
    <row r="971" spans="2:4" ht="15.75" customHeight="1">
      <c r="B971" s="29"/>
      <c r="D971" s="18"/>
    </row>
    <row r="972" spans="2:4" ht="15.75" customHeight="1">
      <c r="B972" s="29"/>
      <c r="D972" s="18"/>
    </row>
    <row r="973" spans="2:4" ht="15.75" customHeight="1">
      <c r="B973" s="29"/>
      <c r="D973" s="18"/>
    </row>
    <row r="974" spans="2:4" ht="15.75" customHeight="1">
      <c r="B974" s="29"/>
      <c r="D974" s="18"/>
    </row>
    <row r="975" spans="2:4" ht="15.75" customHeight="1">
      <c r="B975" s="29"/>
      <c r="D975" s="18"/>
    </row>
    <row r="976" spans="2:4" ht="15.75" customHeight="1">
      <c r="B976" s="29"/>
      <c r="D976" s="18"/>
    </row>
    <row r="977" spans="2:4" ht="15.75" customHeight="1">
      <c r="B977" s="29"/>
      <c r="D977" s="18"/>
    </row>
    <row r="978" spans="2:4" ht="15.75" customHeight="1">
      <c r="B978" s="29"/>
      <c r="D978" s="18"/>
    </row>
    <row r="979" spans="2:4" ht="15.75" customHeight="1">
      <c r="B979" s="29"/>
      <c r="D979" s="18"/>
    </row>
    <row r="980" spans="2:4" ht="15.75" customHeight="1">
      <c r="B980" s="29"/>
      <c r="D980" s="18"/>
    </row>
    <row r="981" spans="2:4" ht="15.75" customHeight="1">
      <c r="B981" s="29"/>
      <c r="D981" s="18"/>
    </row>
    <row r="982" spans="2:4" ht="15.75" customHeight="1">
      <c r="B982" s="29"/>
      <c r="D982" s="18"/>
    </row>
    <row r="983" spans="2:4" ht="15.75" customHeight="1">
      <c r="B983" s="29"/>
      <c r="D983" s="18"/>
    </row>
    <row r="984" spans="2:4" ht="15.75" customHeight="1">
      <c r="B984" s="29"/>
      <c r="D984" s="18"/>
    </row>
    <row r="985" spans="2:4" ht="15.75" customHeight="1">
      <c r="B985" s="29"/>
      <c r="D985" s="18"/>
    </row>
    <row r="986" spans="2:4" ht="15.75" customHeight="1">
      <c r="B986" s="29"/>
      <c r="D986" s="18"/>
    </row>
    <row r="987" spans="2:4" ht="15.75" customHeight="1">
      <c r="B987" s="29"/>
      <c r="D987" s="18"/>
    </row>
    <row r="988" spans="2:4" ht="15.75" customHeight="1">
      <c r="B988" s="29"/>
      <c r="D988" s="18"/>
    </row>
    <row r="989" spans="2:4" ht="15.75" customHeight="1">
      <c r="B989" s="29"/>
      <c r="D989" s="18"/>
    </row>
    <row r="990" spans="2:4" ht="15.75" customHeight="1">
      <c r="B990" s="29"/>
      <c r="D990" s="18"/>
    </row>
    <row r="991" spans="2:4" ht="15.75" customHeight="1">
      <c r="B991" s="29"/>
      <c r="D991" s="18"/>
    </row>
    <row r="992" spans="2:4" ht="15.75" customHeight="1">
      <c r="B992" s="29"/>
      <c r="D992" s="18"/>
    </row>
    <row r="993" spans="2:4" ht="15.75" customHeight="1">
      <c r="B993" s="29"/>
      <c r="D993" s="18"/>
    </row>
    <row r="994" spans="2:4" ht="15.75" customHeight="1">
      <c r="B994" s="29"/>
      <c r="D994" s="18"/>
    </row>
    <row r="995" spans="2:4" ht="15.75" customHeight="1">
      <c r="B995" s="29"/>
      <c r="D995" s="18"/>
    </row>
    <row r="996" spans="2:4" ht="15.75" customHeight="1">
      <c r="B996" s="29"/>
      <c r="D996" s="18"/>
    </row>
    <row r="997" spans="2:4" ht="15.75" customHeight="1">
      <c r="B997" s="29"/>
      <c r="D997" s="18"/>
    </row>
    <row r="998" spans="2:4" ht="15.75" customHeight="1">
      <c r="B998" s="29"/>
      <c r="D998" s="18"/>
    </row>
    <row r="999" spans="2:4" ht="15.75" customHeight="1">
      <c r="B999" s="29"/>
      <c r="D999" s="18"/>
    </row>
    <row r="1000" spans="2:4" ht="15.75" customHeight="1">
      <c r="B1000" s="29"/>
      <c r="D1000" s="18"/>
    </row>
    <row r="1001" spans="2:4" ht="15.75" customHeight="1">
      <c r="B1001" s="29"/>
      <c r="D1001" s="18"/>
    </row>
    <row r="1002" spans="2:4" ht="15.75" customHeight="1">
      <c r="B1002" s="29"/>
      <c r="D1002" s="18"/>
    </row>
    <row r="1003" spans="2:4" ht="15.75" customHeight="1">
      <c r="B1003" s="29"/>
      <c r="D1003" s="18"/>
    </row>
    <row r="1004" spans="2:4" ht="15.75" customHeight="1">
      <c r="B1004" s="29"/>
      <c r="D1004" s="18"/>
    </row>
    <row r="1005" spans="2:4" ht="15.75" customHeight="1">
      <c r="B1005" s="29"/>
      <c r="D1005" s="18"/>
    </row>
  </sheetData>
  <mergeCells count="2">
    <mergeCell ref="A6:B6"/>
    <mergeCell ref="A10:B10"/>
  </mergeCells>
  <pageMargins left="0.7" right="0.7" top="0.75" bottom="0.75" header="0" footer="0"/>
  <pageSetup paperSize="9" scale="8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1"/>
  <sheetViews>
    <sheetView topLeftCell="A25" zoomScaleNormal="100" workbookViewId="0">
      <selection activeCell="L32" sqref="L32"/>
    </sheetView>
  </sheetViews>
  <sheetFormatPr baseColWidth="10" defaultColWidth="12.625" defaultRowHeight="15" customHeight="1"/>
  <cols>
    <col min="1" max="1" width="9.375" customWidth="1"/>
    <col min="2" max="2" width="39.125" customWidth="1"/>
    <col min="3" max="3" width="9.375" customWidth="1"/>
    <col min="4" max="4" width="11.625" bestFit="1" customWidth="1"/>
    <col min="5" max="5" width="9.375" customWidth="1"/>
    <col min="6" max="6" width="13.875" bestFit="1" customWidth="1"/>
    <col min="7" max="7" width="12.625" bestFit="1" customWidth="1"/>
    <col min="8" max="8" width="14.125" bestFit="1" customWidth="1"/>
    <col min="9" max="26" width="9.375" customWidth="1"/>
  </cols>
  <sheetData>
    <row r="1" spans="1:7">
      <c r="F1" s="101" t="s">
        <v>81</v>
      </c>
      <c r="G1" s="102" t="s">
        <v>82</v>
      </c>
    </row>
    <row r="2" spans="1:7">
      <c r="A2" s="60" t="s">
        <v>0</v>
      </c>
      <c r="B2" s="59" t="s">
        <v>1</v>
      </c>
      <c r="C2" s="60" t="s">
        <v>2</v>
      </c>
      <c r="D2" s="83" t="s">
        <v>3</v>
      </c>
      <c r="F2" s="102">
        <f>SUM(C3:C25)</f>
        <v>86</v>
      </c>
      <c r="G2" s="84">
        <f>F2</f>
        <v>86</v>
      </c>
    </row>
    <row r="3" spans="1:7">
      <c r="A3" s="85">
        <v>1</v>
      </c>
      <c r="B3" s="59" t="s">
        <v>8</v>
      </c>
      <c r="C3" s="60">
        <v>2</v>
      </c>
      <c r="D3" s="83">
        <v>1</v>
      </c>
      <c r="F3" s="103">
        <f t="shared" ref="F3:F25" si="0">F2-$F$2/23</f>
        <v>82.260869565217391</v>
      </c>
      <c r="G3" s="84">
        <f t="shared" ref="G3:G25" si="1">G2-D3</f>
        <v>85</v>
      </c>
    </row>
    <row r="4" spans="1:7">
      <c r="A4" s="85">
        <f t="shared" ref="A4:A5" si="2">1+A3</f>
        <v>2</v>
      </c>
      <c r="B4" s="59" t="s">
        <v>9</v>
      </c>
      <c r="C4" s="60">
        <v>3</v>
      </c>
      <c r="D4" s="83">
        <v>4</v>
      </c>
      <c r="F4" s="103">
        <f t="shared" si="0"/>
        <v>78.521739130434781</v>
      </c>
      <c r="G4" s="84">
        <f t="shared" si="1"/>
        <v>81</v>
      </c>
    </row>
    <row r="5" spans="1:7">
      <c r="A5" s="85">
        <f t="shared" si="2"/>
        <v>3</v>
      </c>
      <c r="B5" s="59" t="s">
        <v>10</v>
      </c>
      <c r="C5" s="60">
        <v>3</v>
      </c>
      <c r="D5" s="83">
        <v>2</v>
      </c>
      <c r="F5" s="103">
        <f t="shared" si="0"/>
        <v>74.782608695652172</v>
      </c>
      <c r="G5" s="84">
        <f t="shared" si="1"/>
        <v>79</v>
      </c>
    </row>
    <row r="6" spans="1:7" ht="30">
      <c r="A6" s="85">
        <f>1+A5</f>
        <v>4</v>
      </c>
      <c r="B6" s="86" t="s">
        <v>14</v>
      </c>
      <c r="C6" s="60">
        <v>6</v>
      </c>
      <c r="D6" s="87">
        <v>1</v>
      </c>
      <c r="F6" s="103">
        <f t="shared" si="0"/>
        <v>71.043478260869563</v>
      </c>
      <c r="G6" s="84">
        <f t="shared" si="1"/>
        <v>78</v>
      </c>
    </row>
    <row r="7" spans="1:7" ht="45">
      <c r="A7" s="85">
        <f t="shared" ref="A7:A8" si="3">1+A6</f>
        <v>5</v>
      </c>
      <c r="B7" s="86" t="s">
        <v>17</v>
      </c>
      <c r="C7" s="60">
        <v>5</v>
      </c>
      <c r="D7" s="87">
        <v>6</v>
      </c>
      <c r="F7" s="103">
        <f t="shared" si="0"/>
        <v>67.304347826086953</v>
      </c>
      <c r="G7" s="84">
        <f t="shared" si="1"/>
        <v>72</v>
      </c>
    </row>
    <row r="8" spans="1:7" ht="45">
      <c r="A8" s="85">
        <f t="shared" si="3"/>
        <v>6</v>
      </c>
      <c r="B8" s="86" t="s">
        <v>18</v>
      </c>
      <c r="C8" s="60">
        <v>5</v>
      </c>
      <c r="D8" s="87">
        <v>6</v>
      </c>
      <c r="F8" s="103">
        <f t="shared" si="0"/>
        <v>63.565217391304344</v>
      </c>
      <c r="G8" s="84">
        <f t="shared" si="1"/>
        <v>66</v>
      </c>
    </row>
    <row r="9" spans="1:7" ht="30">
      <c r="A9" s="88">
        <f>1+A8</f>
        <v>7</v>
      </c>
      <c r="B9" s="88" t="s">
        <v>21</v>
      </c>
      <c r="C9" s="60">
        <v>2</v>
      </c>
      <c r="D9" s="83">
        <v>1</v>
      </c>
      <c r="F9" s="103">
        <f t="shared" si="0"/>
        <v>59.826086956521735</v>
      </c>
      <c r="G9" s="84">
        <f t="shared" si="1"/>
        <v>65</v>
      </c>
    </row>
    <row r="10" spans="1:7" ht="45">
      <c r="A10" s="88">
        <f t="shared" ref="A10:A12" si="4">1+A9</f>
        <v>8</v>
      </c>
      <c r="B10" s="88" t="s">
        <v>22</v>
      </c>
      <c r="C10" s="60">
        <v>5</v>
      </c>
      <c r="D10" s="83">
        <v>4</v>
      </c>
      <c r="F10" s="103">
        <f t="shared" si="0"/>
        <v>56.086956521739125</v>
      </c>
      <c r="G10" s="84">
        <f t="shared" si="1"/>
        <v>61</v>
      </c>
    </row>
    <row r="11" spans="1:7" ht="45">
      <c r="A11" s="88">
        <f t="shared" si="4"/>
        <v>9</v>
      </c>
      <c r="B11" s="88" t="s">
        <v>23</v>
      </c>
      <c r="C11" s="89">
        <v>4</v>
      </c>
      <c r="D11" s="87">
        <v>3</v>
      </c>
      <c r="F11" s="103">
        <f t="shared" si="0"/>
        <v>52.347826086956516</v>
      </c>
      <c r="G11" s="84">
        <f t="shared" si="1"/>
        <v>58</v>
      </c>
    </row>
    <row r="12" spans="1:7">
      <c r="A12" s="85">
        <f t="shared" si="4"/>
        <v>10</v>
      </c>
      <c r="B12" s="59" t="s">
        <v>24</v>
      </c>
      <c r="C12" s="60">
        <v>6</v>
      </c>
      <c r="D12" s="83">
        <v>5</v>
      </c>
      <c r="F12" s="103">
        <f t="shared" si="0"/>
        <v>48.608695652173907</v>
      </c>
      <c r="G12" s="84">
        <f t="shared" si="1"/>
        <v>53</v>
      </c>
    </row>
    <row r="13" spans="1:7" ht="60">
      <c r="A13" s="85">
        <f>1+A12</f>
        <v>11</v>
      </c>
      <c r="B13" s="86" t="s">
        <v>26</v>
      </c>
      <c r="C13" s="60">
        <v>8</v>
      </c>
      <c r="D13" s="83">
        <v>9</v>
      </c>
      <c r="F13" s="103">
        <f t="shared" si="0"/>
        <v>44.869565217391298</v>
      </c>
      <c r="G13" s="84">
        <f t="shared" si="1"/>
        <v>44</v>
      </c>
    </row>
    <row r="14" spans="1:7" ht="45">
      <c r="A14" s="85">
        <f t="shared" ref="A14:A22" si="5">1+A13</f>
        <v>12</v>
      </c>
      <c r="B14" s="90" t="s">
        <v>27</v>
      </c>
      <c r="C14" s="60">
        <v>5</v>
      </c>
      <c r="D14" s="83">
        <v>5</v>
      </c>
      <c r="E14" s="80"/>
      <c r="F14" s="103">
        <f t="shared" si="0"/>
        <v>41.130434782608688</v>
      </c>
      <c r="G14" s="84">
        <f t="shared" si="1"/>
        <v>39</v>
      </c>
    </row>
    <row r="15" spans="1:7" ht="30">
      <c r="A15" s="85">
        <f t="shared" si="5"/>
        <v>13</v>
      </c>
      <c r="B15" s="90" t="s">
        <v>29</v>
      </c>
      <c r="C15" s="91">
        <v>4</v>
      </c>
      <c r="D15" s="92">
        <v>4</v>
      </c>
      <c r="E15" s="80"/>
      <c r="F15" s="103">
        <f t="shared" si="0"/>
        <v>37.391304347826079</v>
      </c>
      <c r="G15" s="84">
        <f t="shared" si="1"/>
        <v>35</v>
      </c>
    </row>
    <row r="16" spans="1:7">
      <c r="A16" s="85">
        <f t="shared" si="5"/>
        <v>14</v>
      </c>
      <c r="B16" s="93" t="s">
        <v>31</v>
      </c>
      <c r="C16" s="91">
        <v>1</v>
      </c>
      <c r="D16" s="92">
        <v>1</v>
      </c>
      <c r="E16" s="81"/>
      <c r="F16" s="103">
        <f t="shared" si="0"/>
        <v>33.65217391304347</v>
      </c>
      <c r="G16" s="84">
        <f t="shared" si="1"/>
        <v>34</v>
      </c>
    </row>
    <row r="17" spans="1:26">
      <c r="A17" s="85">
        <f t="shared" si="5"/>
        <v>15</v>
      </c>
      <c r="B17" s="93" t="s">
        <v>32</v>
      </c>
      <c r="C17" s="91">
        <v>1</v>
      </c>
      <c r="D17" s="94">
        <v>1</v>
      </c>
      <c r="E17" s="82"/>
      <c r="F17" s="103">
        <f t="shared" si="0"/>
        <v>29.91304347826086</v>
      </c>
      <c r="G17" s="84">
        <f t="shared" si="1"/>
        <v>33</v>
      </c>
    </row>
    <row r="18" spans="1:26">
      <c r="A18" s="85">
        <f t="shared" si="5"/>
        <v>16</v>
      </c>
      <c r="B18" s="90" t="s">
        <v>33</v>
      </c>
      <c r="C18" s="95">
        <v>3</v>
      </c>
      <c r="D18" s="95">
        <v>2</v>
      </c>
      <c r="E18" s="82"/>
      <c r="F18" s="103">
        <f t="shared" si="0"/>
        <v>26.173913043478251</v>
      </c>
      <c r="G18" s="84">
        <f t="shared" si="1"/>
        <v>31</v>
      </c>
      <c r="I18" s="82"/>
      <c r="J18" s="82"/>
      <c r="K18" s="82"/>
    </row>
    <row r="19" spans="1:26" ht="15.75" customHeight="1">
      <c r="A19" s="85">
        <f t="shared" si="5"/>
        <v>17</v>
      </c>
      <c r="B19" s="90" t="s">
        <v>37</v>
      </c>
      <c r="C19" s="95">
        <v>3</v>
      </c>
      <c r="D19" s="95">
        <v>3</v>
      </c>
      <c r="E19" s="82"/>
      <c r="F19" s="103">
        <f t="shared" si="0"/>
        <v>22.434782608695642</v>
      </c>
      <c r="G19" s="84">
        <f t="shared" si="1"/>
        <v>28</v>
      </c>
      <c r="I19" s="82"/>
      <c r="J19" s="82"/>
      <c r="K19" s="82"/>
    </row>
    <row r="20" spans="1:26" ht="15.75" customHeight="1">
      <c r="A20" s="85">
        <f t="shared" si="5"/>
        <v>18</v>
      </c>
      <c r="B20" s="90" t="s">
        <v>38</v>
      </c>
      <c r="C20" s="95">
        <v>3</v>
      </c>
      <c r="D20" s="95">
        <v>3</v>
      </c>
      <c r="E20" s="82"/>
      <c r="F20" s="103">
        <f t="shared" si="0"/>
        <v>18.695652173913032</v>
      </c>
      <c r="G20" s="84">
        <f t="shared" si="1"/>
        <v>25</v>
      </c>
      <c r="I20" s="82"/>
      <c r="J20" s="82"/>
      <c r="K20" s="82"/>
    </row>
    <row r="21" spans="1:26" ht="15.75" customHeight="1">
      <c r="A21" s="85">
        <f t="shared" si="5"/>
        <v>19</v>
      </c>
      <c r="B21" s="90" t="s">
        <v>39</v>
      </c>
      <c r="C21" s="95">
        <v>3</v>
      </c>
      <c r="D21" s="95">
        <v>2</v>
      </c>
      <c r="E21" s="82"/>
      <c r="F21" s="103">
        <f t="shared" si="0"/>
        <v>14.956521739130423</v>
      </c>
      <c r="G21" s="84">
        <f t="shared" si="1"/>
        <v>23</v>
      </c>
      <c r="I21" s="82"/>
      <c r="J21" s="82"/>
      <c r="K21" s="82"/>
    </row>
    <row r="22" spans="1:26">
      <c r="A22" s="85">
        <f t="shared" si="5"/>
        <v>20</v>
      </c>
      <c r="B22" s="90" t="s">
        <v>40</v>
      </c>
      <c r="C22" s="95">
        <v>4</v>
      </c>
      <c r="D22" s="95">
        <v>3</v>
      </c>
      <c r="E22" s="82"/>
      <c r="F22" s="103">
        <f t="shared" si="0"/>
        <v>11.217391304347814</v>
      </c>
      <c r="G22" s="84">
        <f t="shared" si="1"/>
        <v>20</v>
      </c>
      <c r="I22" s="82"/>
      <c r="J22" s="82"/>
      <c r="K22" s="82"/>
      <c r="L22" s="19"/>
      <c r="M22" s="18"/>
      <c r="N22" s="19"/>
      <c r="O22" s="18"/>
      <c r="P22" s="19"/>
      <c r="Q22" s="18"/>
      <c r="R22" s="19"/>
      <c r="S22" s="18"/>
      <c r="T22" s="19"/>
      <c r="U22" s="18"/>
      <c r="V22" s="19"/>
      <c r="W22" s="18"/>
      <c r="X22" s="19"/>
      <c r="Y22" s="18"/>
      <c r="Z22" s="19"/>
    </row>
    <row r="23" spans="1:26" ht="30">
      <c r="A23" s="85">
        <v>21</v>
      </c>
      <c r="B23" s="86" t="s">
        <v>41</v>
      </c>
      <c r="C23" s="95">
        <v>6</v>
      </c>
      <c r="D23" s="95">
        <v>6</v>
      </c>
      <c r="E23" s="82"/>
      <c r="F23" s="103">
        <f t="shared" si="0"/>
        <v>7.4782608695652044</v>
      </c>
      <c r="G23" s="84">
        <f t="shared" si="1"/>
        <v>14</v>
      </c>
      <c r="I23" s="82"/>
      <c r="J23" s="82"/>
      <c r="K23" s="82"/>
    </row>
    <row r="24" spans="1:26" ht="30">
      <c r="A24" s="96">
        <v>22</v>
      </c>
      <c r="B24" s="97" t="s">
        <v>42</v>
      </c>
      <c r="C24" s="95">
        <v>2</v>
      </c>
      <c r="D24" s="95">
        <v>1</v>
      </c>
      <c r="E24" s="82"/>
      <c r="F24" s="103">
        <f t="shared" si="0"/>
        <v>3.7391304347825955</v>
      </c>
      <c r="G24" s="84">
        <f t="shared" si="1"/>
        <v>13</v>
      </c>
      <c r="I24" s="82"/>
      <c r="J24" s="82"/>
      <c r="K24" s="82"/>
    </row>
    <row r="25" spans="1:26">
      <c r="A25" s="96">
        <v>23</v>
      </c>
      <c r="B25" s="97" t="s">
        <v>43</v>
      </c>
      <c r="C25" s="95">
        <v>2</v>
      </c>
      <c r="D25" s="95">
        <v>1</v>
      </c>
      <c r="E25" s="80"/>
      <c r="F25" s="103">
        <f t="shared" si="0"/>
        <v>-1.3322676295501878E-14</v>
      </c>
      <c r="G25" s="84">
        <f t="shared" si="1"/>
        <v>12</v>
      </c>
      <c r="I25" s="82"/>
      <c r="J25" s="82"/>
      <c r="K25" s="82"/>
    </row>
    <row r="26" spans="1:26" ht="30">
      <c r="A26" s="85">
        <f>1+A25</f>
        <v>24</v>
      </c>
      <c r="B26" s="86" t="s">
        <v>45</v>
      </c>
      <c r="C26" s="98"/>
      <c r="D26" s="98"/>
      <c r="E26" s="80"/>
      <c r="G26" s="80"/>
      <c r="H26" s="80"/>
    </row>
    <row r="27" spans="1:26" ht="30">
      <c r="A27" s="85">
        <f t="shared" ref="A27:A34" si="6">1+A26</f>
        <v>25</v>
      </c>
      <c r="B27" s="86" t="s">
        <v>47</v>
      </c>
      <c r="C27" s="98"/>
      <c r="D27" s="98"/>
      <c r="E27" s="80"/>
      <c r="G27" s="80"/>
      <c r="H27" s="80"/>
    </row>
    <row r="28" spans="1:26" ht="30">
      <c r="A28" s="85">
        <f t="shared" si="6"/>
        <v>26</v>
      </c>
      <c r="B28" s="86" t="s">
        <v>48</v>
      </c>
      <c r="C28" s="98"/>
      <c r="D28" s="98"/>
      <c r="E28" s="80"/>
      <c r="G28" s="80"/>
      <c r="H28" s="80"/>
    </row>
    <row r="29" spans="1:26">
      <c r="A29" s="85">
        <f t="shared" si="6"/>
        <v>27</v>
      </c>
      <c r="B29" s="59" t="s">
        <v>49</v>
      </c>
      <c r="C29" s="98"/>
      <c r="D29" s="98"/>
      <c r="E29" s="80"/>
      <c r="G29" s="80"/>
      <c r="H29" s="80"/>
    </row>
    <row r="30" spans="1:26" ht="30">
      <c r="A30" s="85">
        <f t="shared" si="6"/>
        <v>28</v>
      </c>
      <c r="B30" s="86" t="s">
        <v>51</v>
      </c>
      <c r="C30" s="98"/>
      <c r="D30" s="98"/>
      <c r="E30" s="80"/>
      <c r="G30" s="80"/>
      <c r="H30" s="80"/>
    </row>
    <row r="31" spans="1:26" ht="45">
      <c r="A31" s="85">
        <f t="shared" si="6"/>
        <v>29</v>
      </c>
      <c r="B31" s="86" t="s">
        <v>52</v>
      </c>
      <c r="C31" s="98"/>
      <c r="D31" s="98"/>
      <c r="E31" s="80"/>
      <c r="G31" s="80"/>
      <c r="H31" s="80"/>
    </row>
    <row r="32" spans="1:26" ht="45">
      <c r="A32" s="85">
        <f t="shared" si="6"/>
        <v>30</v>
      </c>
      <c r="B32" s="86" t="s">
        <v>53</v>
      </c>
      <c r="C32" s="98"/>
      <c r="D32" s="98"/>
      <c r="E32" s="80"/>
      <c r="G32" s="80"/>
      <c r="H32" s="80"/>
    </row>
    <row r="33" spans="1:8" ht="30">
      <c r="A33" s="85">
        <f t="shared" si="6"/>
        <v>31</v>
      </c>
      <c r="B33" s="86" t="s">
        <v>54</v>
      </c>
      <c r="C33" s="98"/>
      <c r="D33" s="100"/>
      <c r="E33" s="80"/>
      <c r="G33" s="80"/>
      <c r="H33" s="80"/>
    </row>
    <row r="34" spans="1:8" ht="30">
      <c r="A34" s="85">
        <f t="shared" si="6"/>
        <v>32</v>
      </c>
      <c r="B34" s="86" t="s">
        <v>56</v>
      </c>
      <c r="C34" s="99"/>
      <c r="D34" s="98"/>
      <c r="E34" s="80"/>
      <c r="F34" s="80"/>
      <c r="G34" s="80"/>
      <c r="H34" s="80"/>
    </row>
    <row r="35" spans="1:8" ht="15.75" customHeight="1">
      <c r="C35" s="80"/>
      <c r="D35" s="80"/>
      <c r="E35" s="80"/>
      <c r="F35" s="80"/>
      <c r="G35" s="80"/>
      <c r="H35" s="80"/>
    </row>
    <row r="36" spans="1:8" ht="15.75" customHeight="1"/>
    <row r="37" spans="1:8" ht="15.75" customHeight="1"/>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 footer="0"/>
  <pageSetup paperSize="9" scale="5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1000"/>
  <sheetViews>
    <sheetView workbookViewId="0">
      <selection activeCell="I22" sqref="I22"/>
    </sheetView>
  </sheetViews>
  <sheetFormatPr baseColWidth="10" defaultColWidth="12.625" defaultRowHeight="15" customHeight="1"/>
  <cols>
    <col min="1" max="1" width="9.375" customWidth="1"/>
    <col min="2" max="2" width="34" customWidth="1"/>
    <col min="3" max="4" width="9.375" customWidth="1"/>
    <col min="5" max="5" width="15.625" customWidth="1"/>
    <col min="6" max="26" width="9.375" customWidth="1"/>
  </cols>
  <sheetData>
    <row r="1" spans="1:13" ht="15.75">
      <c r="A1" s="68" t="s">
        <v>0</v>
      </c>
      <c r="B1" s="69" t="s">
        <v>1</v>
      </c>
      <c r="C1" s="70" t="s">
        <v>5</v>
      </c>
      <c r="D1" s="71" t="s">
        <v>6</v>
      </c>
      <c r="E1" s="70" t="s">
        <v>57</v>
      </c>
      <c r="F1" s="70" t="s">
        <v>58</v>
      </c>
      <c r="G1" s="70" t="s">
        <v>59</v>
      </c>
      <c r="H1" s="70" t="s">
        <v>60</v>
      </c>
      <c r="I1" s="70" t="s">
        <v>61</v>
      </c>
      <c r="J1" s="70" t="s">
        <v>62</v>
      </c>
      <c r="K1" s="70" t="s">
        <v>63</v>
      </c>
      <c r="L1" s="70" t="s">
        <v>64</v>
      </c>
      <c r="M1" s="72" t="s">
        <v>65</v>
      </c>
    </row>
    <row r="2" spans="1:13">
      <c r="A2" s="58">
        <v>1</v>
      </c>
      <c r="B2" s="59" t="s">
        <v>8</v>
      </c>
      <c r="C2" s="60">
        <v>1</v>
      </c>
      <c r="D2" s="67" t="s">
        <v>13</v>
      </c>
      <c r="E2" s="60">
        <v>2</v>
      </c>
      <c r="F2" s="60">
        <v>1</v>
      </c>
      <c r="G2" s="60">
        <v>0</v>
      </c>
      <c r="H2" s="60">
        <v>0</v>
      </c>
      <c r="I2" s="60">
        <v>0</v>
      </c>
      <c r="J2" s="60">
        <v>0</v>
      </c>
      <c r="K2" s="60">
        <v>0</v>
      </c>
      <c r="L2" s="60">
        <v>0</v>
      </c>
      <c r="M2" s="62">
        <f t="shared" ref="M2:M4" si="0">SUM(F2:L2)</f>
        <v>1</v>
      </c>
    </row>
    <row r="3" spans="1:13">
      <c r="A3" s="58">
        <f t="shared" ref="A3:A4" si="1">1+A2</f>
        <v>2</v>
      </c>
      <c r="B3" s="59" t="s">
        <v>9</v>
      </c>
      <c r="C3" s="60">
        <v>1</v>
      </c>
      <c r="D3" s="67" t="s">
        <v>13</v>
      </c>
      <c r="E3" s="60">
        <v>3</v>
      </c>
      <c r="F3" s="60">
        <v>0</v>
      </c>
      <c r="G3" s="60">
        <v>0</v>
      </c>
      <c r="H3" s="60">
        <v>2</v>
      </c>
      <c r="I3" s="60">
        <v>2</v>
      </c>
      <c r="J3" s="60">
        <v>0</v>
      </c>
      <c r="K3" s="60">
        <v>0</v>
      </c>
      <c r="L3" s="60">
        <v>0</v>
      </c>
      <c r="M3" s="62">
        <f t="shared" si="0"/>
        <v>4</v>
      </c>
    </row>
    <row r="4" spans="1:13">
      <c r="A4" s="58">
        <f t="shared" si="1"/>
        <v>3</v>
      </c>
      <c r="B4" s="59" t="s">
        <v>10</v>
      </c>
      <c r="C4" s="60">
        <v>1</v>
      </c>
      <c r="D4" s="67" t="s">
        <v>13</v>
      </c>
      <c r="E4" s="60">
        <v>3</v>
      </c>
      <c r="F4" s="60">
        <v>0</v>
      </c>
      <c r="G4" s="60">
        <v>0</v>
      </c>
      <c r="H4" s="60">
        <v>0</v>
      </c>
      <c r="I4" s="60">
        <v>0</v>
      </c>
      <c r="J4" s="60">
        <v>0</v>
      </c>
      <c r="K4" s="60">
        <v>2</v>
      </c>
      <c r="L4" s="60">
        <v>0</v>
      </c>
      <c r="M4" s="62">
        <f t="shared" si="0"/>
        <v>2</v>
      </c>
    </row>
    <row r="5" spans="1:13">
      <c r="A5" s="58"/>
      <c r="B5" s="59"/>
      <c r="C5" s="60"/>
      <c r="D5" s="61"/>
      <c r="E5" s="60"/>
      <c r="F5" s="60"/>
      <c r="G5" s="60"/>
      <c r="H5" s="60"/>
      <c r="I5" s="60"/>
      <c r="J5" s="60"/>
      <c r="K5" s="60"/>
      <c r="L5" s="60"/>
      <c r="M5" s="62"/>
    </row>
    <row r="6" spans="1:13" ht="15.75">
      <c r="A6" s="63"/>
      <c r="B6" s="73" t="s">
        <v>67</v>
      </c>
      <c r="C6" s="74"/>
      <c r="D6" s="74"/>
      <c r="E6" s="75">
        <f>E2+E3+E4</f>
        <v>8</v>
      </c>
      <c r="F6" s="75">
        <f t="shared" ref="F6:L6" si="2">E6-(F2+F3+F4)</f>
        <v>7</v>
      </c>
      <c r="G6" s="75">
        <f t="shared" si="2"/>
        <v>7</v>
      </c>
      <c r="H6" s="75">
        <f t="shared" si="2"/>
        <v>5</v>
      </c>
      <c r="I6" s="75">
        <f t="shared" si="2"/>
        <v>3</v>
      </c>
      <c r="J6" s="75">
        <f t="shared" si="2"/>
        <v>3</v>
      </c>
      <c r="K6" s="75">
        <f t="shared" si="2"/>
        <v>1</v>
      </c>
      <c r="L6" s="75">
        <f t="shared" si="2"/>
        <v>1</v>
      </c>
      <c r="M6" s="64"/>
    </row>
    <row r="7" spans="1:13" ht="15.75">
      <c r="A7" s="65"/>
      <c r="B7" s="76" t="s">
        <v>68</v>
      </c>
      <c r="C7" s="77"/>
      <c r="D7" s="77"/>
      <c r="E7" s="78">
        <v>8</v>
      </c>
      <c r="F7" s="79">
        <f>E7-(E7/7)</f>
        <v>6.8571428571428577</v>
      </c>
      <c r="G7" s="79">
        <f>F7-(E7/7)</f>
        <v>5.7142857142857153</v>
      </c>
      <c r="H7" s="79">
        <f>G7-(E7/7)</f>
        <v>4.571428571428573</v>
      </c>
      <c r="I7" s="79">
        <f>H7-(E7/7)</f>
        <v>3.4285714285714302</v>
      </c>
      <c r="J7" s="79">
        <f>I7-(E7/7)</f>
        <v>2.2857142857142874</v>
      </c>
      <c r="K7" s="79">
        <f>J7-(E7/7)</f>
        <v>1.1428571428571446</v>
      </c>
      <c r="L7" s="79">
        <f>K7-(E7/7)</f>
        <v>1.7763568394002505E-15</v>
      </c>
      <c r="M7" s="6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M8">
    <cfRule type="cellIs" dxfId="6" priority="1" operator="greaterThan">
      <formula>0</formula>
    </cfRule>
  </conditionalFormatting>
  <pageMargins left="0.7" right="0.7" top="0.75" bottom="0.75" header="0" footer="0"/>
  <pageSetup paperSize="9" scale="52"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1000"/>
  <sheetViews>
    <sheetView workbookViewId="0">
      <selection activeCell="L7" sqref="A1:L7"/>
    </sheetView>
  </sheetViews>
  <sheetFormatPr baseColWidth="10" defaultColWidth="12.625" defaultRowHeight="15" customHeight="1"/>
  <cols>
    <col min="1" max="1" width="9.375" customWidth="1"/>
    <col min="2" max="2" width="34" customWidth="1"/>
    <col min="3" max="3" width="9.375" customWidth="1"/>
    <col min="4" max="4" width="16.125" customWidth="1"/>
    <col min="5" max="5" width="13.125" customWidth="1"/>
    <col min="6" max="26" width="9.375" customWidth="1"/>
  </cols>
  <sheetData>
    <row r="1" spans="1:12">
      <c r="A1" s="25" t="s">
        <v>0</v>
      </c>
      <c r="B1" s="26" t="s">
        <v>1</v>
      </c>
      <c r="C1" s="27" t="s">
        <v>6</v>
      </c>
      <c r="D1" s="25" t="s">
        <v>57</v>
      </c>
      <c r="E1" s="25" t="s">
        <v>58</v>
      </c>
      <c r="F1" s="25" t="s">
        <v>59</v>
      </c>
      <c r="G1" s="25" t="s">
        <v>60</v>
      </c>
      <c r="H1" s="25" t="s">
        <v>61</v>
      </c>
      <c r="I1" s="25" t="s">
        <v>62</v>
      </c>
      <c r="J1" s="25" t="s">
        <v>63</v>
      </c>
      <c r="K1" s="25" t="s">
        <v>64</v>
      </c>
      <c r="L1" s="25" t="s">
        <v>65</v>
      </c>
    </row>
    <row r="2" spans="1:12">
      <c r="A2" s="25">
        <v>4</v>
      </c>
      <c r="B2" s="26" t="s">
        <v>69</v>
      </c>
      <c r="C2" s="34" t="s">
        <v>44</v>
      </c>
      <c r="D2" s="25">
        <v>5</v>
      </c>
      <c r="E2" s="25">
        <v>2</v>
      </c>
      <c r="F2" s="25">
        <v>2</v>
      </c>
      <c r="G2" s="25">
        <v>2</v>
      </c>
      <c r="H2" s="25">
        <v>0</v>
      </c>
      <c r="I2" s="25">
        <v>0</v>
      </c>
      <c r="J2" s="25">
        <v>1</v>
      </c>
      <c r="K2" s="25">
        <v>0</v>
      </c>
      <c r="L2" s="25">
        <f t="shared" ref="L2:L4" si="0">SUM(E2:K2)</f>
        <v>7</v>
      </c>
    </row>
    <row r="3" spans="1:12">
      <c r="A3" s="25">
        <v>5</v>
      </c>
      <c r="B3" s="26" t="s">
        <v>70</v>
      </c>
      <c r="C3" s="34" t="s">
        <v>44</v>
      </c>
      <c r="D3" s="25">
        <v>5</v>
      </c>
      <c r="E3" s="25">
        <v>0</v>
      </c>
      <c r="F3" s="25">
        <v>1</v>
      </c>
      <c r="G3" s="25">
        <v>2</v>
      </c>
      <c r="H3" s="25">
        <v>2</v>
      </c>
      <c r="I3" s="25">
        <v>0</v>
      </c>
      <c r="J3" s="25">
        <v>0</v>
      </c>
      <c r="K3" s="25">
        <v>0</v>
      </c>
      <c r="L3" s="25">
        <f t="shared" si="0"/>
        <v>5</v>
      </c>
    </row>
    <row r="4" spans="1:12" ht="30">
      <c r="A4" s="25">
        <v>6</v>
      </c>
      <c r="B4" s="35" t="s">
        <v>71</v>
      </c>
      <c r="C4" s="34" t="s">
        <v>44</v>
      </c>
      <c r="D4" s="25">
        <v>10</v>
      </c>
      <c r="E4" s="25">
        <v>0</v>
      </c>
      <c r="F4" s="25">
        <v>0</v>
      </c>
      <c r="G4" s="25">
        <v>0</v>
      </c>
      <c r="H4" s="25">
        <v>3</v>
      </c>
      <c r="I4" s="25">
        <v>1</v>
      </c>
      <c r="J4" s="25">
        <v>2</v>
      </c>
      <c r="K4" s="25">
        <v>5</v>
      </c>
      <c r="L4" s="25">
        <f t="shared" si="0"/>
        <v>11</v>
      </c>
    </row>
    <row r="5" spans="1:12">
      <c r="A5" s="25"/>
      <c r="B5" s="35"/>
      <c r="C5" s="25"/>
      <c r="D5" s="25"/>
      <c r="E5" s="25"/>
      <c r="F5" s="25"/>
      <c r="G5" s="25"/>
      <c r="H5" s="25"/>
      <c r="I5" s="25"/>
      <c r="J5" s="25"/>
      <c r="K5" s="25"/>
      <c r="L5" s="25"/>
    </row>
    <row r="6" spans="1:12" ht="15.75">
      <c r="A6" s="30"/>
      <c r="B6" s="31" t="s">
        <v>67</v>
      </c>
      <c r="C6" s="32"/>
      <c r="D6" s="32">
        <f>D2+D3+D4</f>
        <v>20</v>
      </c>
      <c r="E6" s="32">
        <f t="shared" ref="E6:K6" si="1">D6-(E2+E3+E4)</f>
        <v>18</v>
      </c>
      <c r="F6" s="32">
        <f t="shared" si="1"/>
        <v>15</v>
      </c>
      <c r="G6" s="32">
        <f t="shared" si="1"/>
        <v>11</v>
      </c>
      <c r="H6" s="32">
        <f t="shared" si="1"/>
        <v>6</v>
      </c>
      <c r="I6" s="32">
        <f t="shared" si="1"/>
        <v>5</v>
      </c>
      <c r="J6" s="32">
        <f t="shared" si="1"/>
        <v>2</v>
      </c>
      <c r="K6" s="32">
        <f t="shared" si="1"/>
        <v>-3</v>
      </c>
      <c r="L6" s="30"/>
    </row>
    <row r="7" spans="1:12" ht="15.75">
      <c r="A7" s="30"/>
      <c r="B7" s="31" t="s">
        <v>68</v>
      </c>
      <c r="C7" s="32"/>
      <c r="D7" s="32">
        <f>D2+D3+D4</f>
        <v>20</v>
      </c>
      <c r="E7" s="33">
        <f>D7-(D7/7)</f>
        <v>17.142857142857142</v>
      </c>
      <c r="F7" s="33">
        <f>E7-(D7/7)</f>
        <v>14.285714285714285</v>
      </c>
      <c r="G7" s="33">
        <f>F7-(D7/7)</f>
        <v>11.428571428571427</v>
      </c>
      <c r="H7" s="33">
        <f>G7-(D7/7)</f>
        <v>8.5714285714285694</v>
      </c>
      <c r="I7" s="33">
        <f>H7-(D7/7)</f>
        <v>5.7142857142857117</v>
      </c>
      <c r="J7" s="33">
        <f>I7-(D7/7)</f>
        <v>2.8571428571428545</v>
      </c>
      <c r="K7" s="33">
        <f>J7-(D7/7)</f>
        <v>0</v>
      </c>
      <c r="L7" s="3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M9:Z9">
    <cfRule type="cellIs" dxfId="5" priority="1" operator="greaterThan">
      <formula>0</formula>
    </cfRule>
  </conditionalFormatting>
  <pageMargins left="0.7" right="0.7" top="0.75" bottom="0.75" header="0" footer="0"/>
  <pageSetup paperSize="9" scale="54"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1000"/>
  <sheetViews>
    <sheetView topLeftCell="A10" workbookViewId="0">
      <selection activeCell="B34" sqref="B34"/>
    </sheetView>
  </sheetViews>
  <sheetFormatPr baseColWidth="10" defaultColWidth="12.625" defaultRowHeight="15" customHeight="1"/>
  <cols>
    <col min="1" max="1" width="9.375" customWidth="1"/>
    <col min="2" max="2" width="34" customWidth="1"/>
    <col min="3" max="3" width="9.375" customWidth="1"/>
    <col min="4" max="4" width="16.125" customWidth="1"/>
    <col min="5" max="5" width="13.125" customWidth="1"/>
    <col min="6" max="26" width="9.375" customWidth="1"/>
  </cols>
  <sheetData>
    <row r="1" spans="1:12">
      <c r="A1" s="25" t="s">
        <v>0</v>
      </c>
      <c r="B1" s="26" t="s">
        <v>1</v>
      </c>
      <c r="C1" s="27" t="s">
        <v>6</v>
      </c>
      <c r="D1" s="25" t="s">
        <v>57</v>
      </c>
      <c r="E1" s="25" t="s">
        <v>58</v>
      </c>
      <c r="F1" s="25" t="s">
        <v>59</v>
      </c>
      <c r="G1" s="25" t="s">
        <v>60</v>
      </c>
      <c r="H1" s="25" t="s">
        <v>61</v>
      </c>
      <c r="I1" s="25" t="s">
        <v>62</v>
      </c>
      <c r="J1" s="25" t="s">
        <v>63</v>
      </c>
      <c r="K1" s="25" t="s">
        <v>64</v>
      </c>
      <c r="L1" s="25" t="s">
        <v>65</v>
      </c>
    </row>
    <row r="2" spans="1:12" ht="15.75">
      <c r="A2" s="36"/>
      <c r="B2" s="37" t="s">
        <v>72</v>
      </c>
      <c r="C2" s="36"/>
      <c r="D2" s="36"/>
      <c r="E2" s="25"/>
      <c r="F2" s="25"/>
      <c r="G2" s="25"/>
      <c r="H2" s="25"/>
      <c r="I2" s="25"/>
      <c r="J2" s="25"/>
      <c r="K2" s="25"/>
      <c r="L2" s="25"/>
    </row>
    <row r="3" spans="1:12" ht="30">
      <c r="A3" s="25">
        <v>4</v>
      </c>
      <c r="B3" s="35" t="s">
        <v>20</v>
      </c>
      <c r="C3" s="28" t="s">
        <v>13</v>
      </c>
      <c r="D3" s="25">
        <v>1</v>
      </c>
      <c r="E3" s="25">
        <v>1</v>
      </c>
      <c r="F3" s="25">
        <v>0</v>
      </c>
      <c r="G3" s="25">
        <v>0</v>
      </c>
      <c r="H3" s="25">
        <v>0</v>
      </c>
      <c r="I3" s="25">
        <v>0</v>
      </c>
      <c r="J3" s="25">
        <v>0</v>
      </c>
      <c r="K3" s="25">
        <v>0</v>
      </c>
      <c r="L3" s="25">
        <f t="shared" ref="L3:L5" si="0">SUM(E3:K3)</f>
        <v>1</v>
      </c>
    </row>
    <row r="4" spans="1:12" ht="45">
      <c r="A4" s="25">
        <v>5</v>
      </c>
      <c r="B4" s="35" t="s">
        <v>73</v>
      </c>
      <c r="C4" s="28" t="s">
        <v>13</v>
      </c>
      <c r="D4" s="25">
        <v>4</v>
      </c>
      <c r="E4" s="25">
        <v>2</v>
      </c>
      <c r="F4" s="25">
        <v>0</v>
      </c>
      <c r="G4" s="25">
        <v>0</v>
      </c>
      <c r="H4" s="25">
        <v>2</v>
      </c>
      <c r="I4" s="25">
        <v>2</v>
      </c>
      <c r="J4" s="25">
        <v>0</v>
      </c>
      <c r="K4" s="25">
        <v>0</v>
      </c>
      <c r="L4" s="25">
        <f t="shared" si="0"/>
        <v>6</v>
      </c>
    </row>
    <row r="5" spans="1:12" ht="45">
      <c r="A5" s="25">
        <v>6</v>
      </c>
      <c r="B5" s="35" t="s">
        <v>18</v>
      </c>
      <c r="C5" s="28" t="s">
        <v>13</v>
      </c>
      <c r="D5" s="25">
        <v>4</v>
      </c>
      <c r="E5" s="25">
        <v>0</v>
      </c>
      <c r="F5" s="25">
        <v>0</v>
      </c>
      <c r="G5" s="25">
        <v>3</v>
      </c>
      <c r="H5" s="25">
        <v>0</v>
      </c>
      <c r="I5" s="25">
        <v>2</v>
      </c>
      <c r="J5" s="25">
        <v>0</v>
      </c>
      <c r="K5" s="25">
        <v>1</v>
      </c>
      <c r="L5" s="25">
        <f t="shared" si="0"/>
        <v>6</v>
      </c>
    </row>
    <row r="6" spans="1:12" ht="15.75">
      <c r="A6" s="36"/>
      <c r="B6" s="37" t="s">
        <v>74</v>
      </c>
      <c r="C6" s="36"/>
      <c r="D6" s="36"/>
      <c r="E6" s="25"/>
      <c r="F6" s="25"/>
      <c r="G6" s="25"/>
      <c r="H6" s="25"/>
      <c r="I6" s="25"/>
      <c r="J6" s="25"/>
      <c r="K6" s="25"/>
      <c r="L6" s="25"/>
    </row>
    <row r="7" spans="1:12" ht="30">
      <c r="A7" s="25">
        <v>7</v>
      </c>
      <c r="B7" s="35" t="s">
        <v>21</v>
      </c>
      <c r="C7" s="34" t="s">
        <v>44</v>
      </c>
      <c r="D7" s="25">
        <v>2</v>
      </c>
      <c r="E7" s="25">
        <v>0</v>
      </c>
      <c r="F7" s="25">
        <v>0</v>
      </c>
      <c r="G7" s="25">
        <v>0</v>
      </c>
      <c r="H7" s="25">
        <v>0</v>
      </c>
      <c r="I7" s="25">
        <v>0</v>
      </c>
      <c r="J7" s="25">
        <v>1</v>
      </c>
      <c r="K7" s="25">
        <v>0</v>
      </c>
      <c r="L7" s="25">
        <f>SUM(Sprint_0611!$E7:$K7)</f>
        <v>1</v>
      </c>
    </row>
    <row r="8" spans="1:12" ht="45">
      <c r="A8" s="25">
        <v>8</v>
      </c>
      <c r="B8" s="38" t="s">
        <v>75</v>
      </c>
      <c r="C8" s="34" t="s">
        <v>44</v>
      </c>
      <c r="D8" s="25">
        <v>5</v>
      </c>
      <c r="E8" s="25">
        <v>0</v>
      </c>
      <c r="F8" s="25">
        <v>2</v>
      </c>
      <c r="G8" s="25">
        <v>0</v>
      </c>
      <c r="H8" s="25">
        <v>2</v>
      </c>
      <c r="I8" s="25">
        <v>0</v>
      </c>
      <c r="J8" s="25">
        <v>0</v>
      </c>
      <c r="K8" s="25">
        <v>0</v>
      </c>
      <c r="L8" s="25">
        <f>SUM(Sprint_0611!$E8:$K8)</f>
        <v>4</v>
      </c>
    </row>
    <row r="9" spans="1:12" ht="45">
      <c r="A9" s="25">
        <v>9</v>
      </c>
      <c r="B9" s="35" t="s">
        <v>23</v>
      </c>
      <c r="C9" s="34" t="s">
        <v>44</v>
      </c>
      <c r="D9" s="25">
        <v>4</v>
      </c>
      <c r="E9" s="25">
        <v>0</v>
      </c>
      <c r="F9" s="25">
        <v>0</v>
      </c>
      <c r="G9" s="25">
        <v>3</v>
      </c>
      <c r="H9" s="25">
        <v>0</v>
      </c>
      <c r="I9" s="25">
        <v>0</v>
      </c>
      <c r="J9" s="25">
        <v>0</v>
      </c>
      <c r="K9" s="25">
        <v>0</v>
      </c>
      <c r="L9" s="25">
        <f>SUM(Sprint_0611!$E9:$K9)</f>
        <v>3</v>
      </c>
    </row>
    <row r="10" spans="1:12">
      <c r="A10" s="25"/>
      <c r="B10" s="25"/>
      <c r="C10" s="25"/>
      <c r="D10" s="25"/>
      <c r="E10" s="25"/>
      <c r="F10" s="25"/>
      <c r="G10" s="25"/>
      <c r="H10" s="25"/>
      <c r="I10" s="25"/>
      <c r="J10" s="25"/>
      <c r="K10" s="25"/>
      <c r="L10" s="25"/>
    </row>
    <row r="11" spans="1:12" ht="15.75">
      <c r="A11" s="30"/>
      <c r="B11" s="31" t="s">
        <v>67</v>
      </c>
      <c r="C11" s="32"/>
      <c r="D11" s="32">
        <f>SUM(D3:D5,D7:D9)</f>
        <v>20</v>
      </c>
      <c r="E11" s="32">
        <f t="shared" ref="E11:K11" si="1">D11-SUM(E3:E5,E7:E9)</f>
        <v>17</v>
      </c>
      <c r="F11" s="32">
        <f t="shared" si="1"/>
        <v>15</v>
      </c>
      <c r="G11" s="32">
        <f t="shared" si="1"/>
        <v>9</v>
      </c>
      <c r="H11" s="32">
        <f t="shared" si="1"/>
        <v>5</v>
      </c>
      <c r="I11" s="32">
        <f t="shared" si="1"/>
        <v>1</v>
      </c>
      <c r="J11" s="32">
        <f t="shared" si="1"/>
        <v>0</v>
      </c>
      <c r="K11" s="32">
        <f t="shared" si="1"/>
        <v>-1</v>
      </c>
      <c r="L11" s="30"/>
    </row>
    <row r="12" spans="1:12" ht="15.75">
      <c r="A12" s="30"/>
      <c r="B12" s="31" t="s">
        <v>68</v>
      </c>
      <c r="C12" s="32"/>
      <c r="D12" s="32">
        <f>D11</f>
        <v>20</v>
      </c>
      <c r="E12" s="33">
        <f>D12-(D12/7)</f>
        <v>17.142857142857142</v>
      </c>
      <c r="F12" s="33">
        <f>E12-(D12/7)</f>
        <v>14.285714285714285</v>
      </c>
      <c r="G12" s="33">
        <f>F12-(D12/7)</f>
        <v>11.428571428571427</v>
      </c>
      <c r="H12" s="33">
        <f>G12-(D12/7)</f>
        <v>8.5714285714285694</v>
      </c>
      <c r="I12" s="33">
        <f>H12-(D12/7)</f>
        <v>5.7142857142857117</v>
      </c>
      <c r="J12" s="33">
        <f>I12-(D12/7)</f>
        <v>2.8571428571428545</v>
      </c>
      <c r="K12" s="33">
        <f>J12-(D12/7)</f>
        <v>0</v>
      </c>
      <c r="L12" s="30"/>
    </row>
    <row r="18" spans="5:5">
      <c r="E18" s="3" t="s">
        <v>76</v>
      </c>
    </row>
    <row r="21" spans="5:5" ht="15.75" customHeight="1"/>
    <row r="22" spans="5:5" ht="15.75" customHeight="1"/>
    <row r="23" spans="5:5" ht="15.75" customHeight="1"/>
    <row r="24" spans="5:5" ht="15.75" customHeight="1"/>
    <row r="25" spans="5:5" ht="15.75" customHeight="1"/>
    <row r="26" spans="5:5" ht="15.75" customHeight="1"/>
    <row r="27" spans="5:5" ht="15.75" customHeight="1"/>
    <row r="28" spans="5:5" ht="15.75" customHeight="1"/>
    <row r="29" spans="5:5" ht="15.75" customHeight="1"/>
    <row r="30" spans="5:5" ht="15.75" customHeight="1"/>
    <row r="31" spans="5:5" ht="15.75" customHeight="1"/>
    <row r="32" spans="5: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M7:Z7">
    <cfRule type="cellIs" dxfId="4" priority="1" operator="greaterThan">
      <formula>0</formula>
    </cfRule>
  </conditionalFormatting>
  <pageMargins left="0.7" right="0.7" top="0.75" bottom="0.75" header="0" footer="0"/>
  <pageSetup paperSize="9" scale="54"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1000"/>
  <sheetViews>
    <sheetView topLeftCell="A13" workbookViewId="0">
      <selection sqref="A1:L12"/>
    </sheetView>
  </sheetViews>
  <sheetFormatPr baseColWidth="10" defaultColWidth="12.625" defaultRowHeight="15" customHeight="1"/>
  <cols>
    <col min="1" max="1" width="9.375" customWidth="1"/>
    <col min="2" max="2" width="34" customWidth="1"/>
    <col min="3" max="3" width="9.375" customWidth="1"/>
    <col min="4" max="4" width="16.125" customWidth="1"/>
    <col min="5" max="5" width="13.125" customWidth="1"/>
    <col min="6" max="26" width="9.375" customWidth="1"/>
  </cols>
  <sheetData>
    <row r="1" spans="1:12">
      <c r="A1" s="25" t="s">
        <v>0</v>
      </c>
      <c r="B1" s="26" t="s">
        <v>1</v>
      </c>
      <c r="C1" s="27" t="s">
        <v>6</v>
      </c>
      <c r="D1" s="25" t="s">
        <v>57</v>
      </c>
      <c r="E1" s="25" t="s">
        <v>58</v>
      </c>
      <c r="F1" s="25" t="s">
        <v>59</v>
      </c>
      <c r="G1" s="25" t="s">
        <v>60</v>
      </c>
      <c r="H1" s="25" t="s">
        <v>61</v>
      </c>
      <c r="I1" s="25" t="s">
        <v>62</v>
      </c>
      <c r="J1" s="25" t="s">
        <v>63</v>
      </c>
      <c r="K1" s="25" t="s">
        <v>64</v>
      </c>
      <c r="L1" s="25" t="s">
        <v>65</v>
      </c>
    </row>
    <row r="2" spans="1:12" ht="15.75">
      <c r="A2" s="36"/>
      <c r="B2" s="37" t="s">
        <v>74</v>
      </c>
      <c r="C2" s="36"/>
      <c r="D2" s="36"/>
      <c r="E2" s="25"/>
      <c r="F2" s="25"/>
      <c r="G2" s="25"/>
      <c r="H2" s="25"/>
      <c r="I2" s="25"/>
      <c r="J2" s="25"/>
      <c r="K2" s="25"/>
      <c r="L2" s="25"/>
    </row>
    <row r="3" spans="1:12" ht="30">
      <c r="A3" s="27">
        <v>7</v>
      </c>
      <c r="B3" s="35" t="s">
        <v>21</v>
      </c>
      <c r="C3" s="28" t="s">
        <v>13</v>
      </c>
      <c r="D3" s="27">
        <v>1</v>
      </c>
      <c r="E3" s="25">
        <v>0</v>
      </c>
      <c r="F3" s="25">
        <v>0</v>
      </c>
      <c r="G3" s="25">
        <v>1</v>
      </c>
      <c r="H3" s="25">
        <v>0</v>
      </c>
      <c r="I3" s="25">
        <v>0</v>
      </c>
      <c r="J3" s="25">
        <v>0</v>
      </c>
      <c r="K3" s="25">
        <v>0</v>
      </c>
      <c r="L3" s="25">
        <f>SUM(Sprint_1511!$E3:$K3)</f>
        <v>1</v>
      </c>
    </row>
    <row r="4" spans="1:12" ht="45">
      <c r="A4" s="27">
        <v>8</v>
      </c>
      <c r="B4" s="38" t="s">
        <v>75</v>
      </c>
      <c r="C4" s="28" t="s">
        <v>13</v>
      </c>
      <c r="D4" s="27">
        <v>4</v>
      </c>
      <c r="E4" s="25">
        <v>0</v>
      </c>
      <c r="F4" s="25">
        <v>2</v>
      </c>
      <c r="G4" s="25">
        <v>0</v>
      </c>
      <c r="H4" s="25">
        <v>1</v>
      </c>
      <c r="I4" s="25">
        <v>1</v>
      </c>
      <c r="J4" s="25">
        <v>0</v>
      </c>
      <c r="K4" s="25">
        <v>0</v>
      </c>
      <c r="L4" s="25">
        <f>SUM(Sprint_1511!$E4:$K4)</f>
        <v>4</v>
      </c>
    </row>
    <row r="5" spans="1:12" ht="45">
      <c r="A5" s="27">
        <v>9</v>
      </c>
      <c r="B5" s="35" t="s">
        <v>23</v>
      </c>
      <c r="C5" s="28" t="s">
        <v>13</v>
      </c>
      <c r="D5" s="27">
        <v>3</v>
      </c>
      <c r="E5" s="25">
        <v>0</v>
      </c>
      <c r="F5" s="25">
        <v>0</v>
      </c>
      <c r="G5" s="25">
        <v>0</v>
      </c>
      <c r="H5" s="25">
        <v>2</v>
      </c>
      <c r="I5" s="25">
        <v>1</v>
      </c>
      <c r="J5" s="25">
        <v>1</v>
      </c>
      <c r="K5" s="25">
        <v>0</v>
      </c>
      <c r="L5" s="25">
        <f>SUM(Sprint_1511!$E5:$K5)</f>
        <v>4</v>
      </c>
    </row>
    <row r="6" spans="1:12" ht="15.75">
      <c r="A6" s="36">
        <v>10</v>
      </c>
      <c r="B6" s="39" t="s">
        <v>77</v>
      </c>
      <c r="C6" s="40" t="s">
        <v>13</v>
      </c>
      <c r="D6" s="36">
        <v>6</v>
      </c>
      <c r="E6" s="25">
        <v>1</v>
      </c>
      <c r="F6" s="25">
        <v>1</v>
      </c>
      <c r="G6" s="25">
        <v>1</v>
      </c>
      <c r="H6" s="25">
        <v>0</v>
      </c>
      <c r="I6" s="25">
        <v>1</v>
      </c>
      <c r="J6" s="25">
        <v>1</v>
      </c>
      <c r="K6" s="25">
        <v>0</v>
      </c>
      <c r="L6" s="25">
        <f>SUM(Sprint_1511!$E6:$K6)</f>
        <v>5</v>
      </c>
    </row>
    <row r="7" spans="1:12" ht="75">
      <c r="A7" s="36">
        <v>11</v>
      </c>
      <c r="B7" s="41" t="s">
        <v>26</v>
      </c>
      <c r="C7" s="28" t="s">
        <v>13</v>
      </c>
      <c r="D7" s="36">
        <v>8</v>
      </c>
      <c r="E7" s="25">
        <v>2</v>
      </c>
      <c r="F7" s="25">
        <v>3</v>
      </c>
      <c r="G7" s="25">
        <v>0</v>
      </c>
      <c r="H7" s="25">
        <v>4</v>
      </c>
      <c r="I7" s="25">
        <v>0</v>
      </c>
      <c r="J7" s="25">
        <v>0</v>
      </c>
      <c r="K7" s="25">
        <v>0</v>
      </c>
      <c r="L7" s="25">
        <f>SUM(Sprint_1511!$E7:$K7)</f>
        <v>9</v>
      </c>
    </row>
    <row r="8" spans="1:12" ht="60">
      <c r="A8" s="25">
        <v>12</v>
      </c>
      <c r="B8" s="42" t="s">
        <v>27</v>
      </c>
      <c r="C8" s="28" t="s">
        <v>13</v>
      </c>
      <c r="D8" s="25">
        <v>5</v>
      </c>
      <c r="E8" s="25">
        <v>0</v>
      </c>
      <c r="F8" s="25">
        <v>0</v>
      </c>
      <c r="G8" s="25">
        <v>0</v>
      </c>
      <c r="H8" s="25">
        <v>0</v>
      </c>
      <c r="I8" s="25">
        <v>3</v>
      </c>
      <c r="J8" s="25">
        <v>2</v>
      </c>
      <c r="K8" s="25">
        <v>0</v>
      </c>
      <c r="L8" s="25">
        <f>SUM(Sprint_1511!$E8:$K8)</f>
        <v>5</v>
      </c>
    </row>
    <row r="9" spans="1:12">
      <c r="A9" s="25">
        <v>13</v>
      </c>
      <c r="B9" s="25" t="s">
        <v>78</v>
      </c>
      <c r="C9" s="28" t="s">
        <v>13</v>
      </c>
      <c r="D9" s="25">
        <v>4</v>
      </c>
      <c r="E9" s="25">
        <v>0</v>
      </c>
      <c r="F9" s="25">
        <v>0</v>
      </c>
      <c r="G9" s="25">
        <v>0</v>
      </c>
      <c r="H9" s="25">
        <v>0</v>
      </c>
      <c r="I9" s="25">
        <v>0</v>
      </c>
      <c r="J9" s="25">
        <v>2</v>
      </c>
      <c r="K9" s="25">
        <v>2</v>
      </c>
      <c r="L9" s="25">
        <f>SUM(Sprint_1511!$E9:$K9)</f>
        <v>4</v>
      </c>
    </row>
    <row r="10" spans="1:12">
      <c r="A10" s="25"/>
      <c r="B10" s="25"/>
      <c r="C10" s="25"/>
      <c r="D10" s="25"/>
      <c r="E10" s="25"/>
      <c r="F10" s="25"/>
      <c r="G10" s="25"/>
      <c r="H10" s="25"/>
      <c r="I10" s="25"/>
      <c r="J10" s="25"/>
      <c r="K10" s="25"/>
      <c r="L10" s="25"/>
    </row>
    <row r="11" spans="1:12" ht="15.75">
      <c r="A11" s="30"/>
      <c r="B11" s="31" t="s">
        <v>67</v>
      </c>
      <c r="C11" s="32"/>
      <c r="D11" s="32">
        <f>SUM(D3:D9)</f>
        <v>31</v>
      </c>
      <c r="E11" s="32">
        <f t="shared" ref="E11:K11" si="0">D11-SUM(E3:E9)</f>
        <v>28</v>
      </c>
      <c r="F11" s="32">
        <f t="shared" si="0"/>
        <v>22</v>
      </c>
      <c r="G11" s="32">
        <f t="shared" si="0"/>
        <v>20</v>
      </c>
      <c r="H11" s="32">
        <f t="shared" si="0"/>
        <v>13</v>
      </c>
      <c r="I11" s="32">
        <f t="shared" si="0"/>
        <v>7</v>
      </c>
      <c r="J11" s="32">
        <f t="shared" si="0"/>
        <v>1</v>
      </c>
      <c r="K11" s="32">
        <f t="shared" si="0"/>
        <v>-1</v>
      </c>
      <c r="L11" s="30"/>
    </row>
    <row r="12" spans="1:12" ht="15.75">
      <c r="A12" s="30"/>
      <c r="B12" s="31" t="s">
        <v>68</v>
      </c>
      <c r="C12" s="32"/>
      <c r="D12" s="32">
        <f>D11</f>
        <v>31</v>
      </c>
      <c r="E12" s="33">
        <f>D12-(D12/7)</f>
        <v>26.571428571428569</v>
      </c>
      <c r="F12" s="33">
        <f>E12-(D12/7)</f>
        <v>22.142857142857139</v>
      </c>
      <c r="G12" s="33">
        <f>F12-(D12/7)</f>
        <v>17.714285714285708</v>
      </c>
      <c r="H12" s="33">
        <f>G12-(D12/7)</f>
        <v>13.285714285714279</v>
      </c>
      <c r="I12" s="33">
        <f>H12-(D12/7)</f>
        <v>8.8571428571428505</v>
      </c>
      <c r="J12" s="33">
        <f>I12-(D12/7)</f>
        <v>4.4285714285714217</v>
      </c>
      <c r="K12" s="33">
        <f>J12-(D12/7)</f>
        <v>-7.1054273576010019E-15</v>
      </c>
      <c r="L12" s="3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M8:Z11">
    <cfRule type="cellIs" dxfId="3" priority="1" operator="greaterThan">
      <formula>0</formula>
    </cfRule>
  </conditionalFormatting>
  <pageMargins left="0.7" right="0.7" top="0.75" bottom="0.75" header="0" footer="0"/>
  <pageSetup paperSize="9" scale="54"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1000"/>
  <sheetViews>
    <sheetView workbookViewId="0">
      <selection activeCell="C11" sqref="C11"/>
    </sheetView>
  </sheetViews>
  <sheetFormatPr baseColWidth="10" defaultColWidth="12.625" defaultRowHeight="15" customHeight="1"/>
  <cols>
    <col min="1" max="1" width="9.375" customWidth="1"/>
    <col min="2" max="2" width="34" customWidth="1"/>
    <col min="3" max="3" width="9.375" customWidth="1"/>
    <col min="4" max="4" width="16.125" customWidth="1"/>
    <col min="5" max="5" width="13.125" customWidth="1"/>
    <col min="6" max="12" width="9.375" customWidth="1"/>
  </cols>
  <sheetData>
    <row r="1" spans="1:12">
      <c r="A1" s="25" t="s">
        <v>0</v>
      </c>
      <c r="B1" s="26" t="s">
        <v>1</v>
      </c>
      <c r="C1" s="27" t="s">
        <v>6</v>
      </c>
      <c r="D1" s="25" t="s">
        <v>57</v>
      </c>
      <c r="E1" s="25" t="s">
        <v>58</v>
      </c>
      <c r="F1" s="25" t="s">
        <v>59</v>
      </c>
      <c r="G1" s="25" t="s">
        <v>60</v>
      </c>
      <c r="H1" s="25" t="s">
        <v>61</v>
      </c>
      <c r="I1" s="25" t="s">
        <v>62</v>
      </c>
      <c r="J1" s="25" t="s">
        <v>63</v>
      </c>
      <c r="K1" s="25" t="s">
        <v>64</v>
      </c>
      <c r="L1" s="25" t="s">
        <v>65</v>
      </c>
    </row>
    <row r="2" spans="1:12" ht="30">
      <c r="A2" s="43">
        <v>14</v>
      </c>
      <c r="B2" s="44" t="s">
        <v>35</v>
      </c>
      <c r="C2" s="45" t="s">
        <v>13</v>
      </c>
      <c r="D2" s="43">
        <v>1</v>
      </c>
      <c r="E2" s="25">
        <v>0</v>
      </c>
      <c r="F2" s="25">
        <v>0</v>
      </c>
      <c r="G2" s="25">
        <v>0</v>
      </c>
      <c r="H2" s="25">
        <v>0</v>
      </c>
      <c r="I2" s="25">
        <v>1</v>
      </c>
      <c r="J2" s="25">
        <v>0</v>
      </c>
      <c r="K2" s="25">
        <v>0</v>
      </c>
      <c r="L2" s="25">
        <f>SUM(Sprint_21_11!$E2:$K2)</f>
        <v>1</v>
      </c>
    </row>
    <row r="3" spans="1:12" ht="30">
      <c r="A3" s="43">
        <f t="shared" ref="A3:A8" si="0">A2+1</f>
        <v>15</v>
      </c>
      <c r="B3" s="44" t="s">
        <v>32</v>
      </c>
      <c r="C3" s="45" t="s">
        <v>13</v>
      </c>
      <c r="D3" s="43">
        <v>1</v>
      </c>
      <c r="E3" s="25">
        <v>0</v>
      </c>
      <c r="F3" s="25">
        <v>0</v>
      </c>
      <c r="G3" s="25">
        <v>0</v>
      </c>
      <c r="H3" s="25">
        <v>0</v>
      </c>
      <c r="I3" s="25">
        <v>1</v>
      </c>
      <c r="J3" s="25">
        <v>0</v>
      </c>
      <c r="K3" s="25">
        <v>0</v>
      </c>
      <c r="L3" s="25">
        <f>SUM(Sprint_21_11!$E3:$K3)</f>
        <v>1</v>
      </c>
    </row>
    <row r="4" spans="1:12">
      <c r="A4" s="43">
        <f t="shared" si="0"/>
        <v>16</v>
      </c>
      <c r="B4" s="46" t="s">
        <v>33</v>
      </c>
      <c r="C4" s="47" t="s">
        <v>13</v>
      </c>
      <c r="D4" s="27">
        <v>3</v>
      </c>
      <c r="E4" s="25">
        <v>0</v>
      </c>
      <c r="F4" s="48">
        <v>1</v>
      </c>
      <c r="G4" s="25">
        <v>1</v>
      </c>
      <c r="H4" s="25">
        <v>0</v>
      </c>
      <c r="I4" s="25">
        <v>0</v>
      </c>
      <c r="J4" s="25">
        <v>0</v>
      </c>
      <c r="K4" s="25">
        <v>0</v>
      </c>
      <c r="L4" s="25">
        <f>SUM(Sprint_21_11!$E4:$K4)</f>
        <v>2</v>
      </c>
    </row>
    <row r="5" spans="1:12">
      <c r="A5" s="43">
        <f t="shared" si="0"/>
        <v>17</v>
      </c>
      <c r="B5" s="46" t="s">
        <v>37</v>
      </c>
      <c r="C5" s="47" t="s">
        <v>13</v>
      </c>
      <c r="D5" s="27">
        <v>3</v>
      </c>
      <c r="E5" s="25">
        <v>0</v>
      </c>
      <c r="F5" s="48">
        <v>1</v>
      </c>
      <c r="G5" s="25">
        <v>0</v>
      </c>
      <c r="H5" s="25">
        <v>1</v>
      </c>
      <c r="I5" s="25">
        <v>1</v>
      </c>
      <c r="J5" s="25">
        <v>0</v>
      </c>
      <c r="K5" s="25">
        <v>0</v>
      </c>
      <c r="L5" s="25">
        <f>SUM(Sprint_21_11!$E5:$K5)</f>
        <v>3</v>
      </c>
    </row>
    <row r="6" spans="1:12">
      <c r="A6" s="43">
        <f t="shared" si="0"/>
        <v>18</v>
      </c>
      <c r="B6" s="46" t="s">
        <v>38</v>
      </c>
      <c r="C6" s="47" t="s">
        <v>13</v>
      </c>
      <c r="D6" s="27">
        <v>3</v>
      </c>
      <c r="E6" s="25">
        <v>0</v>
      </c>
      <c r="F6" s="25">
        <v>0</v>
      </c>
      <c r="G6" s="25">
        <v>0</v>
      </c>
      <c r="H6" s="25">
        <v>2</v>
      </c>
      <c r="I6" s="25">
        <v>1</v>
      </c>
      <c r="J6" s="25">
        <v>0</v>
      </c>
      <c r="K6" s="25">
        <v>0</v>
      </c>
      <c r="L6" s="25">
        <f>SUM(Sprint_21_11!$E6:$K6)</f>
        <v>3</v>
      </c>
    </row>
    <row r="7" spans="1:12">
      <c r="A7" s="43">
        <f t="shared" si="0"/>
        <v>19</v>
      </c>
      <c r="B7" s="46" t="s">
        <v>39</v>
      </c>
      <c r="C7" s="47" t="s">
        <v>13</v>
      </c>
      <c r="D7" s="36">
        <v>3</v>
      </c>
      <c r="E7" s="25">
        <v>1</v>
      </c>
      <c r="F7" s="25">
        <v>0</v>
      </c>
      <c r="G7" s="25">
        <v>0</v>
      </c>
      <c r="H7" s="25">
        <v>0</v>
      </c>
      <c r="I7" s="25">
        <v>0</v>
      </c>
      <c r="J7" s="25">
        <v>1</v>
      </c>
      <c r="K7" s="25">
        <v>0</v>
      </c>
      <c r="L7" s="25">
        <f>SUM(Sprint_21_11!$E7:$K7)</f>
        <v>2</v>
      </c>
    </row>
    <row r="8" spans="1:12" ht="30">
      <c r="A8" s="43">
        <f t="shared" si="0"/>
        <v>20</v>
      </c>
      <c r="B8" s="46" t="s">
        <v>40</v>
      </c>
      <c r="C8" s="47" t="s">
        <v>13</v>
      </c>
      <c r="D8" s="49">
        <v>4</v>
      </c>
      <c r="E8" s="48">
        <v>0</v>
      </c>
      <c r="F8" s="48">
        <v>0</v>
      </c>
      <c r="G8" s="48">
        <v>0</v>
      </c>
      <c r="H8" s="48">
        <v>0</v>
      </c>
      <c r="I8" s="48">
        <v>0</v>
      </c>
      <c r="J8" s="48">
        <v>3</v>
      </c>
      <c r="K8" s="48">
        <v>0</v>
      </c>
      <c r="L8" s="25">
        <f>SUM(Sprint_21_11!$E8:$K8)</f>
        <v>3</v>
      </c>
    </row>
    <row r="9" spans="1:12">
      <c r="A9" s="27"/>
      <c r="B9" s="25"/>
      <c r="C9" s="48"/>
      <c r="D9" s="25"/>
      <c r="E9" s="25"/>
      <c r="F9" s="25"/>
      <c r="G9" s="25"/>
      <c r="H9" s="25"/>
      <c r="I9" s="25"/>
      <c r="J9" s="25"/>
      <c r="K9" s="25"/>
      <c r="L9" s="25"/>
    </row>
    <row r="10" spans="1:12" ht="15.75">
      <c r="A10" s="30"/>
      <c r="B10" s="31" t="s">
        <v>67</v>
      </c>
      <c r="C10" s="32"/>
      <c r="D10" s="32">
        <f>SUM(D2:D8)</f>
        <v>18</v>
      </c>
      <c r="E10" s="32">
        <f t="shared" ref="E10:K10" si="1">D10-SUM(E2:E8)</f>
        <v>17</v>
      </c>
      <c r="F10" s="32">
        <f t="shared" si="1"/>
        <v>15</v>
      </c>
      <c r="G10" s="32">
        <f t="shared" si="1"/>
        <v>14</v>
      </c>
      <c r="H10" s="32">
        <f t="shared" si="1"/>
        <v>11</v>
      </c>
      <c r="I10" s="32">
        <f t="shared" si="1"/>
        <v>7</v>
      </c>
      <c r="J10" s="32">
        <f t="shared" si="1"/>
        <v>3</v>
      </c>
      <c r="K10" s="32">
        <f t="shared" si="1"/>
        <v>3</v>
      </c>
      <c r="L10" s="30"/>
    </row>
    <row r="11" spans="1:12" ht="15.75">
      <c r="A11" s="30"/>
      <c r="B11" s="31" t="s">
        <v>68</v>
      </c>
      <c r="C11" s="32"/>
      <c r="D11" s="32">
        <f>D10</f>
        <v>18</v>
      </c>
      <c r="E11" s="33">
        <f>D11-(D11/7)</f>
        <v>15.428571428571429</v>
      </c>
      <c r="F11" s="33">
        <f>E11-(D11/7)</f>
        <v>12.857142857142858</v>
      </c>
      <c r="G11" s="33">
        <f>F11-(D11/7)</f>
        <v>10.285714285714286</v>
      </c>
      <c r="H11" s="33">
        <f>G11-(D11/7)</f>
        <v>7.7142857142857153</v>
      </c>
      <c r="I11" s="33">
        <f>H11-(D11/7)</f>
        <v>5.1428571428571441</v>
      </c>
      <c r="J11" s="33">
        <f>I11-(D11/7)</f>
        <v>2.5714285714285725</v>
      </c>
      <c r="K11" s="33">
        <f>J11-(D11/7)</f>
        <v>0</v>
      </c>
      <c r="L11" s="30"/>
    </row>
    <row r="12" spans="1:12" ht="15.75">
      <c r="A12" s="53"/>
      <c r="B12" s="31"/>
      <c r="C12" s="32"/>
      <c r="D12" s="32"/>
      <c r="E12" s="32"/>
      <c r="F12" s="32"/>
      <c r="G12" s="32"/>
      <c r="H12" s="32"/>
      <c r="I12" s="32"/>
      <c r="J12" s="32"/>
      <c r="K12" s="32"/>
      <c r="L12" s="3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M8:Z11">
    <cfRule type="cellIs" dxfId="2" priority="1" operator="greaterThan">
      <formula>0</formula>
    </cfRule>
  </conditionalFormatting>
  <pageMargins left="0.7" right="0.7" top="0.75" bottom="0.75" header="0" footer="0"/>
  <pageSetup paperSize="9" scale="54"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03"/>
  <sheetViews>
    <sheetView workbookViewId="0">
      <selection sqref="A1:L7"/>
    </sheetView>
  </sheetViews>
  <sheetFormatPr baseColWidth="10" defaultColWidth="12.625" defaultRowHeight="15" customHeight="1"/>
  <cols>
    <col min="1" max="1" width="9.375" customWidth="1"/>
    <col min="2" max="2" width="46.25" customWidth="1"/>
    <col min="3" max="3" width="9.375" customWidth="1"/>
    <col min="4" max="4" width="16.125" customWidth="1"/>
    <col min="5" max="5" width="13.125" customWidth="1"/>
    <col min="6" max="12" width="9.375" customWidth="1"/>
  </cols>
  <sheetData>
    <row r="1" spans="1:12">
      <c r="A1" s="25" t="s">
        <v>0</v>
      </c>
      <c r="B1" s="26" t="s">
        <v>1</v>
      </c>
      <c r="C1" s="50" t="s">
        <v>6</v>
      </c>
      <c r="D1" s="25" t="s">
        <v>57</v>
      </c>
      <c r="E1" s="25" t="s">
        <v>58</v>
      </c>
      <c r="F1" s="25" t="s">
        <v>59</v>
      </c>
      <c r="G1" s="25" t="s">
        <v>60</v>
      </c>
      <c r="H1" s="25" t="s">
        <v>61</v>
      </c>
      <c r="I1" s="25" t="s">
        <v>62</v>
      </c>
      <c r="J1" s="25" t="s">
        <v>63</v>
      </c>
      <c r="K1" s="25" t="s">
        <v>64</v>
      </c>
      <c r="L1" s="25" t="s">
        <v>65</v>
      </c>
    </row>
    <row r="2" spans="1:12" ht="30">
      <c r="A2" s="51">
        <v>21</v>
      </c>
      <c r="B2" s="35" t="s">
        <v>41</v>
      </c>
      <c r="C2" s="52" t="s">
        <v>44</v>
      </c>
      <c r="D2" s="27">
        <v>6</v>
      </c>
      <c r="E2" s="50">
        <v>3</v>
      </c>
      <c r="F2" s="50">
        <v>2</v>
      </c>
      <c r="G2" s="27">
        <v>0</v>
      </c>
      <c r="H2" s="27">
        <v>0</v>
      </c>
      <c r="I2" s="27">
        <v>0</v>
      </c>
      <c r="J2" s="27">
        <v>0</v>
      </c>
      <c r="K2" s="50">
        <v>1</v>
      </c>
      <c r="L2" s="27">
        <f>SUM(E2:K2)</f>
        <v>6</v>
      </c>
    </row>
    <row r="3" spans="1:12" ht="30">
      <c r="A3" s="113">
        <v>22</v>
      </c>
      <c r="B3" s="109" t="s">
        <v>79</v>
      </c>
      <c r="C3" s="108"/>
      <c r="D3" s="115">
        <v>2</v>
      </c>
      <c r="E3" s="115">
        <v>0</v>
      </c>
      <c r="F3" s="115">
        <v>0</v>
      </c>
      <c r="G3" s="115">
        <v>0</v>
      </c>
      <c r="H3" s="115">
        <v>0</v>
      </c>
      <c r="I3" s="115">
        <v>1</v>
      </c>
      <c r="J3" s="115">
        <v>0</v>
      </c>
      <c r="K3" s="115">
        <v>0</v>
      </c>
      <c r="L3" s="50">
        <v>1</v>
      </c>
    </row>
    <row r="4" spans="1:12" ht="15.75">
      <c r="A4" s="114">
        <v>23</v>
      </c>
      <c r="B4" s="110" t="s">
        <v>80</v>
      </c>
      <c r="C4" s="107"/>
      <c r="D4" s="115">
        <v>2</v>
      </c>
      <c r="E4" s="115">
        <v>0</v>
      </c>
      <c r="F4" s="115">
        <v>0</v>
      </c>
      <c r="G4" s="115">
        <v>0</v>
      </c>
      <c r="H4" s="115">
        <v>1</v>
      </c>
      <c r="I4" s="115">
        <v>0</v>
      </c>
      <c r="J4" s="115">
        <v>0</v>
      </c>
      <c r="K4" s="115">
        <v>0</v>
      </c>
      <c r="L4" s="50">
        <v>1</v>
      </c>
    </row>
    <row r="5" spans="1:12" ht="15.75">
      <c r="A5" s="54"/>
      <c r="B5" s="55"/>
      <c r="C5" s="32"/>
      <c r="D5" s="56"/>
      <c r="E5" s="56"/>
      <c r="F5" s="56"/>
      <c r="G5" s="56"/>
      <c r="H5" s="56"/>
      <c r="I5" s="56"/>
      <c r="J5" s="56"/>
      <c r="K5" s="56"/>
      <c r="L5" s="54"/>
    </row>
    <row r="6" spans="1:12">
      <c r="A6" s="107"/>
      <c r="B6" s="111" t="s">
        <v>67</v>
      </c>
      <c r="C6" s="107"/>
      <c r="D6" s="107">
        <f>SUM(D2:D4)</f>
        <v>10</v>
      </c>
      <c r="E6" s="107">
        <f>D6-SUM(E2:E4)</f>
        <v>7</v>
      </c>
      <c r="F6" s="107">
        <f t="shared" ref="F6:K6" si="0">E6-SUM(F2:F4)</f>
        <v>5</v>
      </c>
      <c r="G6" s="107">
        <f t="shared" si="0"/>
        <v>5</v>
      </c>
      <c r="H6" s="107">
        <f t="shared" si="0"/>
        <v>4</v>
      </c>
      <c r="I6" s="107">
        <f t="shared" si="0"/>
        <v>3</v>
      </c>
      <c r="J6" s="107">
        <f t="shared" si="0"/>
        <v>3</v>
      </c>
      <c r="K6" s="107">
        <f t="shared" si="0"/>
        <v>2</v>
      </c>
      <c r="L6" s="107"/>
    </row>
    <row r="7" spans="1:12">
      <c r="A7" s="107"/>
      <c r="B7" s="111" t="s">
        <v>68</v>
      </c>
      <c r="C7" s="107"/>
      <c r="D7" s="107">
        <f>D6</f>
        <v>10</v>
      </c>
      <c r="E7" s="112">
        <f>D7-(D7/7)</f>
        <v>8.5714285714285712</v>
      </c>
      <c r="F7" s="112">
        <f>E7-(D7/7)</f>
        <v>7.1428571428571423</v>
      </c>
      <c r="G7" s="112">
        <f>F7-(D7/7)</f>
        <v>5.7142857142857135</v>
      </c>
      <c r="H7" s="112">
        <f>G7-(D7/7)</f>
        <v>4.2857142857142847</v>
      </c>
      <c r="I7" s="112">
        <f>H7-(D7/7)</f>
        <v>2.8571428571428559</v>
      </c>
      <c r="J7" s="112">
        <f>I7-(D7/7)</f>
        <v>1.4285714285714273</v>
      </c>
      <c r="K7" s="112">
        <f>J7-(D7/7)</f>
        <v>0</v>
      </c>
      <c r="L7" s="107"/>
    </row>
    <row r="16" spans="1:12" ht="15.75" customHeight="1"/>
    <row r="17" spans="10:10" ht="15.75" customHeight="1"/>
    <row r="18" spans="10:10" ht="15.75" customHeight="1">
      <c r="J18" s="57"/>
    </row>
    <row r="19" spans="10:10" ht="15.75" customHeight="1"/>
    <row r="20" spans="10:10" ht="15.75" customHeight="1"/>
    <row r="21" spans="10:10" ht="15.75" customHeight="1"/>
    <row r="22" spans="10:10" ht="15.75" customHeight="1"/>
    <row r="23" spans="10:10" ht="15.75" customHeight="1"/>
    <row r="24" spans="10:10" ht="15.75" customHeight="1"/>
    <row r="25" spans="10:10" ht="15.75" customHeight="1"/>
    <row r="26" spans="10:10" ht="15.75" customHeight="1"/>
    <row r="27" spans="10:10" ht="15.75" customHeight="1"/>
    <row r="28" spans="10:10" ht="15.75" customHeight="1"/>
    <row r="29" spans="10:10" ht="15.75" customHeight="1"/>
    <row r="30" spans="10:10" ht="15.75" customHeight="1"/>
    <row r="31" spans="10:10" ht="15.75" customHeight="1"/>
    <row r="32" spans="10: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conditionalFormatting sqref="M3:Z6">
    <cfRule type="cellIs" dxfId="1" priority="1" operator="greaterThan">
      <formula>0</formula>
    </cfRule>
  </conditionalFormatting>
  <pageMargins left="0.7" right="0.7" top="0.75" bottom="0.75" header="0" footer="0"/>
  <pageSetup paperSize="9" orientation="portrait"/>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348A1-4380-4991-AE8B-E7C7D975F761}">
  <sheetPr>
    <pageSetUpPr fitToPage="1"/>
  </sheetPr>
  <dimension ref="A1:L995"/>
  <sheetViews>
    <sheetView workbookViewId="0">
      <selection activeCell="D23" sqref="D23"/>
    </sheetView>
  </sheetViews>
  <sheetFormatPr baseColWidth="10" defaultColWidth="12.625" defaultRowHeight="15" customHeight="1"/>
  <cols>
    <col min="1" max="1" width="9.375" customWidth="1"/>
    <col min="2" max="2" width="34" customWidth="1"/>
    <col min="3" max="3" width="9.375" customWidth="1"/>
    <col min="4" max="4" width="16.125" customWidth="1"/>
    <col min="5" max="5" width="13.125" customWidth="1"/>
    <col min="6" max="12" width="9.375" customWidth="1"/>
  </cols>
  <sheetData>
    <row r="1" spans="1:12">
      <c r="A1" s="25" t="s">
        <v>0</v>
      </c>
      <c r="B1" s="29" t="s">
        <v>1</v>
      </c>
      <c r="C1" s="50" t="s">
        <v>6</v>
      </c>
      <c r="D1" s="25" t="s">
        <v>57</v>
      </c>
      <c r="E1" s="25" t="s">
        <v>58</v>
      </c>
      <c r="F1" s="25" t="s">
        <v>59</v>
      </c>
      <c r="G1" s="25" t="s">
        <v>60</v>
      </c>
      <c r="H1" s="25" t="s">
        <v>61</v>
      </c>
      <c r="I1" s="25" t="s">
        <v>62</v>
      </c>
      <c r="J1" s="25" t="s">
        <v>63</v>
      </c>
      <c r="K1" s="25" t="s">
        <v>64</v>
      </c>
      <c r="L1" s="25" t="s">
        <v>65</v>
      </c>
    </row>
    <row r="2" spans="1:12" ht="30">
      <c r="A2" s="51">
        <v>21</v>
      </c>
      <c r="B2" s="35" t="s">
        <v>41</v>
      </c>
      <c r="C2" s="119" t="s">
        <v>13</v>
      </c>
      <c r="D2" s="27">
        <v>6</v>
      </c>
      <c r="E2" s="50">
        <v>3</v>
      </c>
      <c r="F2" s="50">
        <v>2</v>
      </c>
      <c r="G2" s="27">
        <v>0</v>
      </c>
      <c r="H2" s="27">
        <v>0</v>
      </c>
      <c r="I2" s="27">
        <v>0</v>
      </c>
      <c r="J2" s="27">
        <v>0</v>
      </c>
      <c r="K2" s="50">
        <v>1</v>
      </c>
      <c r="L2" s="27">
        <f>SUM(E2:K2)</f>
        <v>6</v>
      </c>
    </row>
    <row r="3" spans="1:12" ht="45">
      <c r="A3" s="113">
        <v>22</v>
      </c>
      <c r="B3" s="109" t="s">
        <v>79</v>
      </c>
      <c r="C3" s="119" t="s">
        <v>13</v>
      </c>
      <c r="D3" s="115">
        <v>2</v>
      </c>
      <c r="E3" s="115">
        <v>0</v>
      </c>
      <c r="F3" s="115">
        <v>0</v>
      </c>
      <c r="G3" s="115">
        <v>0</v>
      </c>
      <c r="H3" s="115">
        <v>0</v>
      </c>
      <c r="I3" s="115">
        <v>1</v>
      </c>
      <c r="J3" s="115">
        <v>0</v>
      </c>
      <c r="K3" s="115">
        <v>0</v>
      </c>
      <c r="L3" s="50">
        <v>1</v>
      </c>
    </row>
    <row r="4" spans="1:12" ht="15.75">
      <c r="A4" s="114">
        <v>23</v>
      </c>
      <c r="B4" s="110" t="s">
        <v>80</v>
      </c>
      <c r="C4" s="119" t="s">
        <v>13</v>
      </c>
      <c r="D4" s="115">
        <v>2</v>
      </c>
      <c r="E4" s="115">
        <v>0</v>
      </c>
      <c r="F4" s="115">
        <v>0</v>
      </c>
      <c r="G4" s="115">
        <v>0</v>
      </c>
      <c r="H4" s="115">
        <v>1</v>
      </c>
      <c r="I4" s="115">
        <v>0</v>
      </c>
      <c r="J4" s="115">
        <v>0</v>
      </c>
      <c r="K4" s="115">
        <v>0</v>
      </c>
      <c r="L4" s="50">
        <v>1</v>
      </c>
    </row>
    <row r="5" spans="1:12">
      <c r="A5" s="116"/>
      <c r="B5" s="117"/>
      <c r="C5" s="118"/>
      <c r="D5" s="116"/>
      <c r="E5" s="116"/>
      <c r="F5" s="116"/>
      <c r="G5" s="116"/>
      <c r="H5" s="116"/>
      <c r="I5" s="116"/>
      <c r="J5" s="116"/>
      <c r="K5" s="116"/>
      <c r="L5" s="116"/>
    </row>
    <row r="6" spans="1:12">
      <c r="A6" s="107"/>
      <c r="B6" s="111" t="s">
        <v>67</v>
      </c>
      <c r="C6" s="107"/>
      <c r="D6" s="107">
        <f>SUM(D2:D4)</f>
        <v>10</v>
      </c>
      <c r="E6" s="107">
        <f>D6-SUM(E2:E4)</f>
        <v>7</v>
      </c>
      <c r="F6" s="107">
        <f>E6-SUM(F2:F4)</f>
        <v>5</v>
      </c>
      <c r="G6" s="107">
        <f>F6-SUM(G2:G4)</f>
        <v>5</v>
      </c>
      <c r="H6" s="107">
        <f>G6-SUM(H2:H4)</f>
        <v>4</v>
      </c>
      <c r="I6" s="107">
        <f>H6-SUM(I2:I4)</f>
        <v>3</v>
      </c>
      <c r="J6" s="107">
        <f>I6-SUM(J2:J4)</f>
        <v>3</v>
      </c>
      <c r="K6" s="107">
        <f>J6-SUM(K2:K4)</f>
        <v>2</v>
      </c>
      <c r="L6" s="107"/>
    </row>
    <row r="7" spans="1:12" ht="16.5" customHeight="1">
      <c r="A7" s="107"/>
      <c r="B7" s="111" t="s">
        <v>68</v>
      </c>
      <c r="C7" s="107"/>
      <c r="D7" s="107">
        <f>D6</f>
        <v>10</v>
      </c>
      <c r="E7" s="112">
        <f>D7-(D7/7)</f>
        <v>8.5714285714285712</v>
      </c>
      <c r="F7" s="112">
        <f>E7-(D7/7)</f>
        <v>7.1428571428571423</v>
      </c>
      <c r="G7" s="112">
        <f>F7-(D7/7)</f>
        <v>5.7142857142857135</v>
      </c>
      <c r="H7" s="112">
        <f>G7-(D7/7)</f>
        <v>4.2857142857142847</v>
      </c>
      <c r="I7" s="112">
        <f>H7-(D7/7)</f>
        <v>2.8571428571428559</v>
      </c>
      <c r="J7" s="112">
        <f>I7-(D7/7)</f>
        <v>1.4285714285714273</v>
      </c>
      <c r="K7" s="112">
        <f>J7-(D7/7)</f>
        <v>0</v>
      </c>
      <c r="L7" s="107"/>
    </row>
    <row r="16" spans="1: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M6:Z7">
    <cfRule type="cellIs" dxfId="0" priority="1" operator="greaterThan">
      <formula>0</formula>
    </cfRule>
  </conditionalFormatting>
  <pageMargins left="0.7" right="0.7" top="0.75" bottom="0.75" header="0" footer="0"/>
  <pageSetup paperSize="9" scale="56"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5</vt:i4>
      </vt:variant>
    </vt:vector>
  </HeadingPairs>
  <TitlesOfParts>
    <vt:vector size="14" baseType="lpstr">
      <vt:lpstr>ProductBacklog</vt:lpstr>
      <vt:lpstr>Estimation tâche</vt:lpstr>
      <vt:lpstr>Sprint_1810</vt:lpstr>
      <vt:lpstr>Sprint_2410</vt:lpstr>
      <vt:lpstr>Sprint_0611</vt:lpstr>
      <vt:lpstr>Sprint_1511</vt:lpstr>
      <vt:lpstr>Sprint_21_11</vt:lpstr>
      <vt:lpstr>Sprint_0512</vt:lpstr>
      <vt:lpstr>Sprint_21_11 (2)</vt:lpstr>
      <vt:lpstr>ProductBacklog!Zone_d_impression</vt:lpstr>
      <vt:lpstr>Sprint_1810!Zone_d_impression</vt:lpstr>
      <vt:lpstr>Sprint_21_11!Zone_d_impression</vt:lpstr>
      <vt:lpstr>'Sprint_21_11 (2)'!Zone_d_impression</vt:lpstr>
      <vt:lpstr>Sprint_2410!Zone_d_impression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Dorian</dc:creator>
  <cp:lastModifiedBy>Dorian</cp:lastModifiedBy>
  <cp:lastPrinted>2019-12-15T15:04:19Z</cp:lastPrinted>
  <dcterms:created xsi:type="dcterms:W3CDTF">2019-11-10T14:15:39Z</dcterms:created>
  <dcterms:modified xsi:type="dcterms:W3CDTF">2019-12-15T15:36:03Z</dcterms:modified>
</cp:coreProperties>
</file>